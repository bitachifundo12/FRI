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Coding frame" sheetId="2" r:id="rId5"/>
    <sheet state="visible" name="Case attributes" sheetId="3" r:id="rId6"/>
    <sheet state="visible" name="Session register" sheetId="4" r:id="rId7"/>
    <sheet state="visible" name="Coding log - Ghana -Chifundo" sheetId="5" r:id="rId8"/>
    <sheet state="visible" name="Coding log - Ghana - Ahmed" sheetId="6" r:id="rId9"/>
    <sheet state="visible" name="Coding log - Uganda-John" sheetId="7" r:id="rId10"/>
    <sheet state="visible" name="Quant extraction" sheetId="8" r:id="rId11"/>
    <sheet state="visible" name="Crosswalk" sheetId="9" r:id="rId12"/>
  </sheets>
  <definedNames>
    <definedName hidden="1" localSheetId="1" name="_xlnm._FilterDatabase">'Coding frame'!$A$1:$M$63</definedName>
    <definedName hidden="1" localSheetId="3" name="_xlnm._FilterDatabase">'Session register'!$A$1:$N$86</definedName>
    <definedName hidden="1" localSheetId="4" name="_xlnm._FilterDatabase">'Coding log - Ghana -Chifundo'!$A$1:$L$102</definedName>
    <definedName hidden="1" localSheetId="5" name="_xlnm._FilterDatabase">'Coding log - Ghana - Ahmed'!$A$1:$L$102</definedName>
    <definedName hidden="1" localSheetId="6" name="_xlnm._FilterDatabase">'Coding log - Uganda-John'!$A$1:$L$58</definedName>
    <definedName hidden="1" localSheetId="7" name="_xlnm._FilterDatabase">'Quant extraction'!$A$1:$O$49</definedName>
  </definedNames>
  <calcPr/>
  <extLst>
    <ext uri="GoogleSheetsCustomDataVersion2">
      <go:sheetsCustomData xmlns:go="http://customooxmlschemas.google.com/" r:id="rId13" roundtripDataChecksum="5g26P8lFhiCB296Cr3TobpOPilbbwGaSRlMEmTaTZMQ="/>
    </ext>
  </extLst>
</workbook>
</file>

<file path=xl/sharedStrings.xml><?xml version="1.0" encoding="utf-8"?>
<sst xmlns="http://schemas.openxmlformats.org/spreadsheetml/2006/main" count="4500" uniqueCount="1411">
  <si>
    <t>Green Leaf Platforms Evaluation — coding frame</t>
  </si>
  <si>
    <t>Attribute</t>
  </si>
  <si>
    <t>Companion workbook to the Green Leaf coding framework document. Version 0.3, 10 September 2026.</t>
  </si>
  <si>
    <t>Type</t>
  </si>
  <si>
    <t>Values or rule</t>
  </si>
  <si>
    <t>Example</t>
  </si>
  <si>
    <t>What this workbook is</t>
  </si>
  <si>
    <t>session_id</t>
  </si>
  <si>
    <t>The working sheet for coding the Green Leaf session record. The codebook document carries the reasoning and the full rules; this file is what a coder keeps open. Both are versioned together — if one changes, so does the other.</t>
  </si>
  <si>
    <t>Text</t>
  </si>
  <si>
    <t>Sheet</t>
  </si>
  <si>
    <t>Country_Instrument_Hub_Community_NN_Date, matching the session folder name</t>
  </si>
  <si>
    <t>Family</t>
  </si>
  <si>
    <t>Country</t>
  </si>
  <si>
    <t>What it is for</t>
  </si>
  <si>
    <t>GH_IDI_VoltaStar_HaveAndoNo1_01_25Aug</t>
  </si>
  <si>
    <t>Coding frame</t>
  </si>
  <si>
    <t>Date</t>
  </si>
  <si>
    <t>Code</t>
  </si>
  <si>
    <t>Every code, its definition, when to apply it, when not to, a real example, and the output it feeds. Reference only, do not edit while coding.</t>
  </si>
  <si>
    <t>Hub</t>
  </si>
  <si>
    <t>Label</t>
  </si>
  <si>
    <t>country</t>
  </si>
  <si>
    <t>Case attributes</t>
  </si>
  <si>
    <t>List</t>
  </si>
  <si>
    <t>The session-level fields recorded once per session. These are not codes and are never counted as themes.</t>
  </si>
  <si>
    <t>Community</t>
  </si>
  <si>
    <t>Stage</t>
  </si>
  <si>
    <t>Ghana | Uganda</t>
  </si>
  <si>
    <t>Session register</t>
  </si>
  <si>
    <t>Ghana</t>
  </si>
  <si>
    <t>Instrument</t>
  </si>
  <si>
    <t>Objective / RQ</t>
  </si>
  <si>
    <t>One row per session from the field session logs, pre-filled from the fieldwork tracker. Add the coding status columns as you work. Yellow cells are for you to fill.</t>
  </si>
  <si>
    <t>Respondent</t>
  </si>
  <si>
    <t>hub</t>
  </si>
  <si>
    <t>Coding log</t>
  </si>
  <si>
    <t>Recorded</t>
  </si>
  <si>
    <t>Definition</t>
  </si>
  <si>
    <t>One row per coded passage, for every session in one flat sheet. There is no separate tab per transcript, and none should be created: the point of a single log is that it sorts and filters across the whole corpus, and it is the same shape a qualitative coding package exports. Two example rows are included and should be deleted before use.</t>
  </si>
  <si>
    <t>Radio Savannah | Garden City Radio | Volta Star | BBS Radio | Radio Pacis | Ateker FM</t>
  </si>
  <si>
    <t>Apply when</t>
  </si>
  <si>
    <t>Volta Star</t>
  </si>
  <si>
    <t>Quant extraction</t>
  </si>
  <si>
    <t>Uploaded</t>
  </si>
  <si>
    <t>Do not apply to</t>
  </si>
  <si>
    <t>The structured attribute block for every COST and REACH passage. This sheet feeds the ROI workbook directly. An example row is included.</t>
  </si>
  <si>
    <t>hub_tier</t>
  </si>
  <si>
    <t>Field note</t>
  </si>
  <si>
    <t>Example from the record</t>
  </si>
  <si>
    <t>Crosswalk</t>
  </si>
  <si>
    <t>Transcript status</t>
  </si>
  <si>
    <t>Source</t>
  </si>
  <si>
    <t>Mapping between the instrument field codes, the summary form field codes, and the codes in this frame.</t>
  </si>
  <si>
    <t>Coding layer used</t>
  </si>
  <si>
    <t>Feeds</t>
  </si>
  <si>
    <t>Coded by</t>
  </si>
  <si>
    <t>Set</t>
  </si>
  <si>
    <t>Double-coded by</t>
  </si>
  <si>
    <t>Conventions</t>
  </si>
  <si>
    <t>Data quality flag</t>
  </si>
  <si>
    <t>Tier as fixed in Research Plan 4.1.1. Never revised by fieldwork (RP 7.4)</t>
  </si>
  <si>
    <t>CTX</t>
  </si>
  <si>
    <t>Weak / diagnostic</t>
  </si>
  <si>
    <t>exposure_observed</t>
  </si>
  <si>
    <t>CTX-ROLE</t>
  </si>
  <si>
    <t>Exposure level indicated by fieldwork. Reported as a Journey Mapping finding, never as a revised tier</t>
  </si>
  <si>
    <t>10-Aug-2026</t>
  </si>
  <si>
    <t>Radio Savannah</t>
  </si>
  <si>
    <t>Higher than the tier implies</t>
  </si>
  <si>
    <t>Yellow cells</t>
  </si>
  <si>
    <t>Tamale Metropolitan</t>
  </si>
  <si>
    <t>Respondent role and tenure</t>
  </si>
  <si>
    <t>For you to fill in.</t>
  </si>
  <si>
    <t>IDI</t>
  </si>
  <si>
    <t>n/a</t>
  </si>
  <si>
    <t>community</t>
  </si>
  <si>
    <t>Obj 2</t>
  </si>
  <si>
    <t>Y</t>
  </si>
  <si>
    <t>Working sets</t>
  </si>
  <si>
    <t>Both</t>
  </si>
  <si>
    <t>Community name as given in the session log</t>
  </si>
  <si>
    <t>A coder on farmer sessions uses ACC, KNOW, ADOPT, INC, DIFF and GESI (29 codes). A coder on hub sessions uses CTX, FUNC, COST, REACH, SUST and ECO (33 codes). Nobody holds the whole frame at once.</t>
  </si>
  <si>
    <t>The respondent's own account of their role, how long they have held it, and which organisation they answer to.</t>
  </si>
  <si>
    <t>IDI 01</t>
  </si>
  <si>
    <t>Fodome Xelu</t>
  </si>
  <si>
    <t>Any self-description of position, remit or length of service.</t>
  </si>
  <si>
    <t>Layers</t>
  </si>
  <si>
    <t>Descriptions of what other people at the hub do. That is CTX-HUB.</t>
  </si>
  <si>
    <t>AUD is the audio, TRN the transcript, SUM the structured summary form. Every coded passage records which layer it came from. Verbatim quotation may only come from TRN or AUD, never from SUM.</t>
  </si>
  <si>
    <t>instrument</t>
  </si>
  <si>
    <t>Hub KII | IDI | FGD | Field Observation</t>
  </si>
  <si>
    <t>Numbers</t>
  </si>
  <si>
    <t>FGD</t>
  </si>
  <si>
    <t>No figure goes into the ROI workbook from a transcript alone. The summary forms warn that the transcription engine renders Ghana cedis as dollars and garbles some numbers. Verify against audio or the written record and record the verification status.</t>
  </si>
  <si>
    <t>"MoFA regional agronomist acting as resource person to the hub", where the respondent describes the role as resource person rather than extension officer. John described on 9 September how at Masindi the programme manager was interviewed as though he held the station manager role, and the actual station manager, a different person, was identified and interviewed the following day; that is part of why the hub carries four KIIs.</t>
  </si>
  <si>
    <t>respondent_category</t>
  </si>
  <si>
    <t>Absence</t>
  </si>
  <si>
    <t>Where something was asked and not held, record it. A blank cannot be told apart from a question that was never asked.</t>
  </si>
  <si>
    <t>SM | HC | EO | RC | EPC | RSR | Radio Presenter | Farmer | Group</t>
  </si>
  <si>
    <t>Radio Presenter</t>
  </si>
  <si>
    <t>Quantified</t>
  </si>
  <si>
    <t>ECO-COMPARATOR only. Yes where the passage carries cost, coverage or efficiency information, No where it is a stated comparison without figures. Only Yes passages enter ROI Lens 2 arithmetic; No passages are evidence for Objective 4 positioning.</t>
  </si>
  <si>
    <t>respondent_sex</t>
  </si>
  <si>
    <t>Female | Male | Mixed group | Not recorded</t>
  </si>
  <si>
    <t>Male</t>
  </si>
  <si>
    <t>Changes in 0.3</t>
  </si>
  <si>
    <t>session_date</t>
  </si>
  <si>
    <t>Date of session as logged</t>
  </si>
  <si>
    <t>25 Aug 2026</t>
  </si>
  <si>
    <t>language</t>
  </si>
  <si>
    <t>GH_KII_RadioSavannah_EO_10Aug_Summary, Module A; internal analysis meeting, 9 Sept</t>
  </si>
  <si>
    <t>Language of session, and interpretation arrangement</t>
  </si>
  <si>
    <t>English with live Ewe interpretation</t>
  </si>
  <si>
    <t>IDI 02</t>
  </si>
  <si>
    <t>consent_status</t>
  </si>
  <si>
    <t>On recording | Signed form | Community-level, form to verify | Not documented</t>
  </si>
  <si>
    <t>Community-level, form to verify</t>
  </si>
  <si>
    <t>ECO-COMPARATOR</t>
  </si>
  <si>
    <t>recording_status</t>
  </si>
  <si>
    <t>KII</t>
  </si>
  <si>
    <t>Case attribute validation; Objective 2</t>
  </si>
  <si>
    <t>Inclusion rule loosened so a stated comparison without figures is captured rather than dropped, with the new Quantified field carrying the distinction.</t>
  </si>
  <si>
    <t>SM</t>
  </si>
  <si>
    <t>Complete | Partial | Multi-part | None</t>
  </si>
  <si>
    <t>Airtime</t>
  </si>
  <si>
    <t>Partial</t>
  </si>
  <si>
    <t>Stated for Ghana on 9 September: the radio station runs the programme and covers the airtime, and the ministry supplies the extension officers. For Uganda it was established that the station runs the programme, but who bears the airtime cost was not stated and still needs confirming. Where the station bears it, airtime is coded COST-INKIND at replacement cost rather than COST-CASH.</t>
  </si>
  <si>
    <t>transcript_status</t>
  </si>
  <si>
    <t>CTX-HUB</t>
  </si>
  <si>
    <t>GESI</t>
  </si>
  <si>
    <t>Hub composition and staffing</t>
  </si>
  <si>
    <t>Full | Partial | Unusable | Pending translation | None</t>
  </si>
  <si>
    <t>The fifteen-fifteen gender balance target was not achieved in the Ghana fieldwork, and the one women-only focus group that did run was overheard by men standing within listening distance. Any gender-disaggregated Ghana finding is read against GESI-GAP rather than reported flat.</t>
  </si>
  <si>
    <t>EO</t>
  </si>
  <si>
    <t>Who makes up the hub, how the roster is assembled, and any turnover or vacancy affecting it.</t>
  </si>
  <si>
    <t>Revenue</t>
  </si>
  <si>
    <t>data_quality_flag</t>
  </si>
  <si>
    <t>Named roles, rosters, stand-ins, staff churn, recruitment.</t>
  </si>
  <si>
    <t>Advertising bought for commercial return is recorded separately from donation given in support, a distinction Thomas asked for on 9 September. The two are never reported as one figure.</t>
  </si>
  <si>
    <t>External partners outside the hub. That is FUNC-PARTNER.</t>
  </si>
  <si>
    <t>Recorded on two devices; RA's full recording canonical, 4 backup parts</t>
  </si>
  <si>
    <t>Clean | Verify figures | Verify identity | Recover from audio | Do not use unqualified</t>
  </si>
  <si>
    <t>Register</t>
  </si>
  <si>
    <t>A topic-matched roster of MoFA and partner specialists covering livestock, nutrition, production, research, weather and health; the original extension officer and one colleague have both moved to directorates.</t>
  </si>
  <si>
    <t>Recover from audio</t>
  </si>
  <si>
    <t>Two national ecosystem interviews added. Tracker divergence, outstanding transcription and one figure needing verification are recorded in the register notes.</t>
  </si>
  <si>
    <t>GH_KII_RadioSavannah_EO_10Aug_Summary, Module A</t>
  </si>
  <si>
    <t>Objective 2; sustainability risk</t>
  </si>
  <si>
    <t>participant_count</t>
  </si>
  <si>
    <t>Number</t>
  </si>
  <si>
    <t>Number of participants, FGD only</t>
  </si>
  <si>
    <t>Code count</t>
  </si>
  <si>
    <t>Not recorded</t>
  </si>
  <si>
    <t>CTX-STATUS</t>
  </si>
  <si>
    <t>Programme operating status, by element</t>
  </si>
  <si>
    <t>Station manager recommended speaking with the radio presenter</t>
  </si>
  <si>
    <t>Whether each named element of the platform is currently fully active, partially active, changed or lapsed. Coded per element, never for the hub as a whole.</t>
  </si>
  <si>
    <t>Statements about production, airtime, hub meetings, extension officer participation, feedback handling or the digital platform being active, reduced or stopped.</t>
  </si>
  <si>
    <t>An element that never existed at that hub. Do not code one status for the whole hub.</t>
  </si>
  <si>
    <t>11-Aug-2026</t>
  </si>
  <si>
    <t>Volta Star recorded as partially active: production and airtime active and station-funded, hub meetings inactive, extension officer participation voluntary and ad hoc at officers' own cost.</t>
  </si>
  <si>
    <t>Golinga</t>
  </si>
  <si>
    <t>Daily Field Progress Tracker, Ghana Field Notes, 24 Aug</t>
  </si>
  <si>
    <t>Objective 3; branches every later module</t>
  </si>
  <si>
    <t>IDI 01 of 5</t>
  </si>
  <si>
    <t>CTX-HIST</t>
  </si>
  <si>
    <t>Programme history and funding lineage</t>
  </si>
  <si>
    <t>Prior phases, predecessor programmes and the sequence of funders behind the current arrangement.</t>
  </si>
  <si>
    <t>References to DAASSP, FAO, ESRF, IKEA Foundation, AGRA/PIATA, CABI or any earlier funding period.</t>
  </si>
  <si>
    <t>Current funding arrangements. Those are SUST-CONTINUE.</t>
  </si>
  <si>
    <t>The programme predates Green Leaf and started under DAASSP; FAO funded operations after DAS ended until its own project closed.</t>
  </si>
  <si>
    <t>Objective 3; Objective 4</t>
  </si>
  <si>
    <t>IDI 02 of 5</t>
  </si>
  <si>
    <t>CTX-OTHER</t>
  </si>
  <si>
    <t>Other context</t>
  </si>
  <si>
    <t>Contextual material that clearly belongs to this family but fits none of the codes above.</t>
  </si>
  <si>
    <t>IDI 03 of 5</t>
  </si>
  <si>
    <t>Use sparingly. Every use is reviewed at the fortnightly code review.</t>
  </si>
  <si>
    <t>Do not use as a parking space for material that belongs in another family.</t>
  </si>
  <si>
    <t>Structural code. No exemplar.</t>
  </si>
  <si>
    <t>Gale et al. (2013) convention</t>
  </si>
  <si>
    <t>Code review</t>
  </si>
  <si>
    <t>ACC</t>
  </si>
  <si>
    <t>ACC-DIRECT</t>
  </si>
  <si>
    <t>Direct access to the broadcast</t>
  </si>
  <si>
    <t>B</t>
  </si>
  <si>
    <t>Obj 1 · RQ1</t>
  </si>
  <si>
    <t>IDI 04 of 5</t>
  </si>
  <si>
    <t>The respondent hears the programme on a radio or device they themselves own or control.</t>
  </si>
  <si>
    <t>Families</t>
  </si>
  <si>
    <t>Ownership or routine personal use of a radio, phone or stream.</t>
  </si>
  <si>
    <t>Where the set belongs to someone else or is shared. That is ACC-SHARED.</t>
  </si>
  <si>
    <t>"Owns both a radio and a phone, and uses the radio most of the time."</t>
  </si>
  <si>
    <t>GH_IDI_VoltaStar_HaveAndoNo1_01_25Aug_Summary, Module B</t>
  </si>
  <si>
    <t>ROI reach denominator, direct arm</t>
  </si>
  <si>
    <t>IDI 05 of 5</t>
  </si>
  <si>
    <t>ACC-SHARED</t>
  </si>
  <si>
    <t>Second-hand, shared or relayed access</t>
  </si>
  <si>
    <t>13-Aug-2026</t>
  </si>
  <si>
    <t>The content reaches a person other than through a set they control: a shared or passed-around radio, group listening, a community relay, or being told the content by someone else.</t>
  </si>
  <si>
    <t>Sakogu</t>
  </si>
  <si>
    <t>Any described mechanism by which content reaches a non-listener.</t>
  </si>
  <si>
    <t>Onward discussion of content among people who all heard it themselves. That is DIFF.</t>
  </si>
  <si>
    <t>"Some people have access to radio and others dont. But they pass it around each other when they have communal seatings."</t>
  </si>
  <si>
    <t>Kanpom/Sankagla FGD, Radio Savannah catchment, quoted in the project state report of 21 Aug</t>
  </si>
  <si>
    <t>ROI reach denominator, second-hand arm; Inception Report commitment</t>
  </si>
  <si>
    <t>ACC-BARRIER</t>
  </si>
  <si>
    <t>14-Aug-2026</t>
  </si>
  <si>
    <t>Barrier to access</t>
  </si>
  <si>
    <t>Sankpagla</t>
  </si>
  <si>
    <t>Anything preventing or limiting exposure: no set, no power, no signal, cost, timing, language, or competing obligation.</t>
  </si>
  <si>
    <t>Stated obstacles to hearing the programme.</t>
  </si>
  <si>
    <t>Barriers to acting on advice once heard. That is ADOPT-BARRIER.</t>
  </si>
  <si>
    <t>Wide-coverage transmitter is on and off; the station requests a console or standby generator.</t>
  </si>
  <si>
    <t>Objective 1; GESI analysis</t>
  </si>
  <si>
    <t>ACC-SCHED</t>
  </si>
  <si>
    <t>Scheduling, timing and slot</t>
  </si>
  <si>
    <t>The broadcast slot, its repeats, and any change to it, including audience-driven changes.</t>
  </si>
  <si>
    <t>Slot times, day of week, repeats, clashes, slot moves.</t>
  </si>
  <si>
    <t>Content decisions. Those are FUNC-CONTENT.</t>
  </si>
  <si>
    <t>The programme originally ran 7 to 8pm, clashed with mosque prayers and fragmented the audience, so on listener feedback it moved to 8 to 9pm.</t>
  </si>
  <si>
    <t>15-Aug-2026</t>
  </si>
  <si>
    <t>GH_KII_RadioSavannah_EO_10Aug_Summary, Module C</t>
  </si>
  <si>
    <t>Objective 1; Objective 2 (responsiveness)</t>
  </si>
  <si>
    <t>Field Observation</t>
  </si>
  <si>
    <t>ACC-OTHER</t>
  </si>
  <si>
    <t>Other access</t>
  </si>
  <si>
    <t>Hub observation; audio in 3 parts</t>
  </si>
  <si>
    <t>Access material fitting none of the codes above.</t>
  </si>
  <si>
    <t>Use sparingly; reviewed fortnightly.</t>
  </si>
  <si>
    <t>17-Aug-2026</t>
  </si>
  <si>
    <t>Not a parking space for other families.</t>
  </si>
  <si>
    <t>Garden City Radio</t>
  </si>
  <si>
    <t>EPC</t>
  </si>
  <si>
    <t>MoFA Kumasi; recorder stopped, 2 parts</t>
  </si>
  <si>
    <t>KNOW</t>
  </si>
  <si>
    <t>KNOW-RECALL</t>
  </si>
  <si>
    <t>Specific content recalled</t>
  </si>
  <si>
    <t>C</t>
  </si>
  <si>
    <t>Obj 1 · RQ2</t>
  </si>
  <si>
    <t>18-Aug-2026</t>
  </si>
  <si>
    <t>A named, datable piece of advice the respondent can reproduce, with enough detail to be checked against a broadcast.</t>
  </si>
  <si>
    <t>Specific practices, varieties, timings or techniques attributed to the programme.</t>
  </si>
  <si>
    <t>Atwima Nerebihi</t>
  </si>
  <si>
    <t>General appreciation without content. That is KNOW-VALUE.</t>
  </si>
  <si>
    <t>Cowpea variety timing, red cowpea planted January to June and white from June to December, given with the reasoning and a statement that he has been following it.</t>
  </si>
  <si>
    <t>GH_FGD_VoltaStar_FodomeXelu_01_25Aug_Summary, Module B</t>
  </si>
  <si>
    <t>Objective 1; evidence of exposure depth</t>
  </si>
  <si>
    <t>Recorder stopped, 2 parts</t>
  </si>
  <si>
    <t>KNOW-TRUST-PROCESS</t>
  </si>
  <si>
    <t>Trust grounded in production process</t>
  </si>
  <si>
    <t>19-Aug-2026</t>
  </si>
  <si>
    <t>Jamasi</t>
  </si>
  <si>
    <t>Credibility attributed to how the programme is made: research before broadcast, briefing of resource persons, editorial discipline, reputational stake.</t>
  </si>
  <si>
    <t>Mixed FGD</t>
  </si>
  <si>
    <t>Reasoning about method, preparation or institutional incentive.</t>
  </si>
  <si>
    <t>Where trust rests on the advice having worked. That is KNOW-TRUST-OUTCOME.</t>
  </si>
  <si>
    <t>The station researches before it broadcasts, holds pre-chats with the resource person, and is disciplined by reputational risk, "knowing very well that if there's an amount of deceit, it will lose its credibility."</t>
  </si>
  <si>
    <t>GH_FGD_VoltaStar_FodomeXelu_01_25Aug_Summary, Module D</t>
  </si>
  <si>
    <t>Objective 1; Objective 2 (editorial practice)</t>
  </si>
  <si>
    <t>23-Aug-2026</t>
  </si>
  <si>
    <t>KNOW-TRUST-OUTCOME</t>
  </si>
  <si>
    <t>Trust grounded in results or reliability</t>
  </si>
  <si>
    <t>Hub observation; audio recorded</t>
  </si>
  <si>
    <t>Credibility attributed to the advice having worked, or to the programme being consistently there.</t>
  </si>
  <si>
    <t>Trust justified by harvest results, or by schedule dependability.</t>
  </si>
  <si>
    <t>Reasoning about how the programme is produced.</t>
  </si>
  <si>
    <t>24-Aug-2026</t>
  </si>
  <si>
    <t>Adaklu Agblefe grounds trust in schedule reliability, recorded as a separable mechanism from the Fodome Xelu process account.</t>
  </si>
  <si>
    <t>GH_FGD_VoltaStar_FodomeXelu_01_25Aug_Summary, Section 3</t>
  </si>
  <si>
    <t>Objective 1</t>
  </si>
  <si>
    <t>Ministry of Agriculture Ho</t>
  </si>
  <si>
    <t>KNOW-VALUE</t>
  </si>
  <si>
    <t>General valuation without specific content</t>
  </si>
  <si>
    <t>Positive or negative appraisal of the programme with no recallable content attached.</t>
  </si>
  <si>
    <t>"It benefits them a lot" and similar.</t>
  </si>
  <si>
    <t>Never code as evidence of knowledge gain or behaviour change.</t>
  </si>
  <si>
    <t>RP</t>
  </si>
  <si>
    <t>The group describes the programme as enriching their knowledge generally, without naming content.</t>
  </si>
  <si>
    <t>Objective 1, contextual only</t>
  </si>
  <si>
    <t>Answered jointly by producer/host and HR manager/co-host</t>
  </si>
  <si>
    <t>KNOW-CONFUSE</t>
  </si>
  <si>
    <t>Advice unclear, unusable or distrusted</t>
  </si>
  <si>
    <t>25-Aug-2026</t>
  </si>
  <si>
    <t>Have Ando No.1</t>
  </si>
  <si>
    <t>Content the respondent could not act on, did not understand, or did not believe.</t>
  </si>
  <si>
    <t>Reported confusion, contradiction, or rejection of advice.</t>
  </si>
  <si>
    <t>Advice that was clear but unaffordable. That is ADOPT-BARRIER.</t>
  </si>
  <si>
    <t>Mixed FGD; women participated</t>
  </si>
  <si>
    <t>Recorded as explicitly absent in this session: "No confusing or unusable advice was reported." Absence is itself codeable.</t>
  </si>
  <si>
    <t>GH_IDI_VoltaStar_HaveAndoNo1_01_25Aug_Summary, Module C</t>
  </si>
  <si>
    <t>Objective 1; content design</t>
  </si>
  <si>
    <t>KNOW-OTHER</t>
  </si>
  <si>
    <t>Other knowledge and trust</t>
  </si>
  <si>
    <t>Material in this family fitting none of the codes above.</t>
  </si>
  <si>
    <t>IDI 01, male. Name conflict in the record, resolve before coding</t>
  </si>
  <si>
    <t>ADOPT</t>
  </si>
  <si>
    <t>ADOPT-TRIAL</t>
  </si>
  <si>
    <t>Practice tried</t>
  </si>
  <si>
    <t>D</t>
  </si>
  <si>
    <t>Obj 1 · RQ3</t>
  </si>
  <si>
    <t>IDI 02, female</t>
  </si>
  <si>
    <t>A specific practice the respondent says they started, stopped or altered, with the programme given as the reason.</t>
  </si>
  <si>
    <t>Both the practice and the attribution must be present.</t>
  </si>
  <si>
    <t>Where either the practice or the attribution is missing.</t>
  </si>
  <si>
    <t>Confirms he tried a practice heard on the programme and that it worked; the practice itself was described in Ewe and did not survive into the English track, so the code is applied with a recovery flag.</t>
  </si>
  <si>
    <t>GH_IDI_VoltaStar_HaveAndoNo1_01_25Aug_Summary, Module D</t>
  </si>
  <si>
    <t>Adaklu Agblefe</t>
  </si>
  <si>
    <t>Objective 1; ROI benefit side</t>
  </si>
  <si>
    <t>ADOPT-SUSTAIN</t>
  </si>
  <si>
    <t>Practice retained</t>
  </si>
  <si>
    <t>E</t>
  </si>
  <si>
    <t>Obj 1 · RQ4</t>
  </si>
  <si>
    <t>A tried practice still in use at the time of interview.</t>
  </si>
  <si>
    <t>Continued use across at least one season.</t>
  </si>
  <si>
    <t>A single trial with no continuation stated.</t>
  </si>
  <si>
    <t>"Adopted and retained. No drop-off reported."</t>
  </si>
  <si>
    <t>GH_IDI_VoltaStar_HaveAndoNo1_01_25Aug_Summary, Module E</t>
  </si>
  <si>
    <t>Objective 1; ROI benefit persistence</t>
  </si>
  <si>
    <t>IDI 01, male</t>
  </si>
  <si>
    <t>ADOPT-DROP</t>
  </si>
  <si>
    <t>Practice discontinued</t>
  </si>
  <si>
    <t>A practice tried and then abandoned, with the reason where given.</t>
  </si>
  <si>
    <t>Stated discontinuation.</t>
  </si>
  <si>
    <t>Do not infer discontinuation from silence.</t>
  </si>
  <si>
    <t>No Ghana exemplar yet recorded. Retained because the Inception Report commits to reporting drop-off.</t>
  </si>
  <si>
    <t>Inception Report commitment; no exemplar to date</t>
  </si>
  <si>
    <t>ADOPT-BARRIER</t>
  </si>
  <si>
    <t>Barrier to adoption</t>
  </si>
  <si>
    <t>Mixed FGD. Transcript carries no content after approx 10:00 of 19:00</t>
  </si>
  <si>
    <t>Anything preventing action on advice that was heard and understood: cost, inputs, land, labour, water, market or permission.</t>
  </si>
  <si>
    <t>Obstacles between hearing and doing.</t>
  </si>
  <si>
    <t>Obstacles to hearing. That is ACC-BARRIER.</t>
  </si>
  <si>
    <t>"The barrier he had to clear was cost, not effectiveness or acceptability."</t>
  </si>
  <si>
    <t>Objective 1; ROI conversion assumptions</t>
  </si>
  <si>
    <t>ADOPT-OTHER</t>
  </si>
  <si>
    <t>Other practice change</t>
  </si>
  <si>
    <t>IDI 01, female</t>
  </si>
  <si>
    <t>INC</t>
  </si>
  <si>
    <t>INC-CHANGE</t>
  </si>
  <si>
    <t>Reported income, yield or loss change</t>
  </si>
  <si>
    <t>F</t>
  </si>
  <si>
    <t>Obj 1 &amp; 5 · RQ5</t>
  </si>
  <si>
    <t>IDI 02, male</t>
  </si>
  <si>
    <t>A change in yield, income, cost or post-harvest loss the respondent attributes to a practice learned from the programme.</t>
  </si>
  <si>
    <t>Direction and, where given, magnitude and period.</t>
  </si>
  <si>
    <t>Income change with no link to the programme.</t>
  </si>
  <si>
    <t>Farmers reported a visible change in how they used to farm before engaging with Green Leaf and shared the impact on household income.</t>
  </si>
  <si>
    <t>28-Aug-2026</t>
  </si>
  <si>
    <t>Daily Field Progress Tracker, Uganda Field Notes, 24 Aug</t>
  </si>
  <si>
    <t>ROI Lens 3</t>
  </si>
  <si>
    <t>N</t>
  </si>
  <si>
    <t>INC-INVEST</t>
  </si>
  <si>
    <t>Financing of adoption</t>
  </si>
  <si>
    <t>How the first application of a practice was paid for, and where any resulting income went.</t>
  </si>
  <si>
    <t>Source of the money, and reinvestment or consumption of returns.</t>
  </si>
  <si>
    <t>Programme costs. Those are COST.</t>
  </si>
  <si>
    <t>The practice was expensive to take up and was financed from weaving income rather than farming; additional income from improved methods goes back into the following season's farming.</t>
  </si>
  <si>
    <t>GH_IDI_VoltaStar_HaveAndoNo1_01_25Aug_Summary, Module F</t>
  </si>
  <si>
    <t>ROI Lens 3; adoption conditionality</t>
  </si>
  <si>
    <t>INC-MARKET</t>
  </si>
  <si>
    <t>Market access and price realisation</t>
  </si>
  <si>
    <t>Obj 1 &amp; 4 · RQ5</t>
  </si>
  <si>
    <t>Constraints on converting production into income: buyers, prices, transport, storage, timing of sale.</t>
  </si>
  <si>
    <t>Any account of harvest not converting to money.</t>
  </si>
  <si>
    <t>Production constraints. Those are ADOPT-BARRIER.</t>
  </si>
  <si>
    <t>"sometimes when we harvest it, it used to become a problem for us... the money that you're supposed to sell, it becomes a problem."</t>
  </si>
  <si>
    <t>Upload status blank in the tracker</t>
  </si>
  <si>
    <t>GH_IDI_VoltaStar_HaveAndoNo1_01_25Aug_Summary, Module A</t>
  </si>
  <si>
    <t>ROI Lens 3; a stated limit on the benefit pathway</t>
  </si>
  <si>
    <t>01-Sep-2026</t>
  </si>
  <si>
    <t>INC-OTHER</t>
  </si>
  <si>
    <t>Bekwai</t>
  </si>
  <si>
    <t>Other income and return</t>
  </si>
  <si>
    <t>DIFF</t>
  </si>
  <si>
    <t>DIFF-FORMAL</t>
  </si>
  <si>
    <t>Formal organisational route</t>
  </si>
  <si>
    <t>Content passes through a standing group with membership and meetings: farmer association, cooperative, savings group.</t>
  </si>
  <si>
    <t>A named structure with recurring meetings.</t>
  </si>
  <si>
    <t>Ad hoc gatherings.</t>
  </si>
  <si>
    <t>"Through farmer associations. What is heard on radio is taken to association meetings and shared there." The only Volta community to name a formal standing structure.</t>
  </si>
  <si>
    <t>GH_FGD_VoltaStar_FodomeXelu_01_25Aug_Summary, Module C</t>
  </si>
  <si>
    <t>Objective 2; partnership design</t>
  </si>
  <si>
    <t>DIFF-KIN</t>
  </si>
  <si>
    <t>Family or household route</t>
  </si>
  <si>
    <t>Content passes within the household or extended family.</t>
  </si>
  <si>
    <t>Spouse, children, family group named as the route.</t>
  </si>
  <si>
    <t>Neighbours.</t>
  </si>
  <si>
    <t>Have Ando No.1 uses family groups as its diffusion route.</t>
  </si>
  <si>
    <t>GH_FGD_VoltaStar_FodomeXelu_01_25Aug_Summary, Module C (cross-community comparison)</t>
  </si>
  <si>
    <t>Uganda</t>
  </si>
  <si>
    <t>BBS Radio</t>
  </si>
  <si>
    <t>DIFF-INFORMAL</t>
  </si>
  <si>
    <t>Masindi Hub</t>
  </si>
  <si>
    <t>Informal neighbour route</t>
  </si>
  <si>
    <t>RC</t>
  </si>
  <si>
    <t>Assistant Uliza leader, producer of the show</t>
  </si>
  <si>
    <t>Content passes through unstructured conversation among neighbours or at communal gathering points.</t>
  </si>
  <si>
    <t>Conversation with no organising structure.</t>
  </si>
  <si>
    <t>Where a named group is the vehicle.</t>
  </si>
  <si>
    <t>Adaklu Agblefe uses informal neighbour conversation.</t>
  </si>
  <si>
    <t>Objective 1; interacts with ACC-SHARED</t>
  </si>
  <si>
    <t>Program Manager</t>
  </si>
  <si>
    <t>DIFF-OTHER</t>
  </si>
  <si>
    <t>Other diffusion</t>
  </si>
  <si>
    <t>Recording issue: approx 20 per cent of the session captured</t>
  </si>
  <si>
    <t>Kaahara Agateiraine cooperative society</t>
  </si>
  <si>
    <t>FUNC</t>
  </si>
  <si>
    <t>FUNC-CONTENT</t>
  </si>
  <si>
    <t>Mixed group, very active community</t>
  </si>
  <si>
    <t>Content design and planning</t>
  </si>
  <si>
    <t>How topics are chosen, scripted, scheduled and prepared, and what planning assets exist.</t>
  </si>
  <si>
    <t>Topic calendars, synopses, scripting practice, resource-person briefing.</t>
  </si>
  <si>
    <t>Slot timing. That is ACC-SCHED.</t>
  </si>
  <si>
    <t>Kyamugweri - Yega Okole</t>
  </si>
  <si>
    <t>A standing January to December topic calendar with synopses, developed with outside experts, described as the hub's core planning asset that lets a new resource person pick up a topic.</t>
  </si>
  <si>
    <t>GH_KII_RadioSavannah_EO_10Aug_Summary, Modules A and E</t>
  </si>
  <si>
    <t>Objective 2; replicability</t>
  </si>
  <si>
    <t>Male coffee, piggery and maize farmer</t>
  </si>
  <si>
    <t>FUNC-FEEDBACK</t>
  </si>
  <si>
    <t>Feedback capture and use</t>
  </si>
  <si>
    <t>Labongo cooperative</t>
  </si>
  <si>
    <t>How farmer responses are collected, recorded and acted on.</t>
  </si>
  <si>
    <t>Call-in logs, listener visits, WhatsApp channels, feedback-driven changes.</t>
  </si>
  <si>
    <t>Platform engagement counts. Those are REACH-ENGAGE.</t>
  </si>
  <si>
    <t>Call-in records kept by the presenter, who logs every session; callers tallied on a plain sheet.</t>
  </si>
  <si>
    <t>GH_KII_RadioSavannah_EO_10Aug_Summary, Module C; Ghana Field Notes 10 Aug</t>
  </si>
  <si>
    <t>Objective 2; reach evidence base</t>
  </si>
  <si>
    <t>FUNC-PARTNER</t>
  </si>
  <si>
    <t>External partner involvement</t>
  </si>
  <si>
    <t>Organisations outside the hub contributing content, staff, airtime, funding or reach.</t>
  </si>
  <si>
    <t>Named ministries, research institutes, met services, NGOs, input dealers, other stations.</t>
  </si>
  <si>
    <t>Hub members. That is CTX-HUB.</t>
  </si>
  <si>
    <t>Partners named include MoFA directorates, a research institute, the meteorological service, agro-input dealers and the health sector on demand; a second station simulcasts the programme as corporate social responsibility.</t>
  </si>
  <si>
    <t>Objective 2; Objective 4</t>
  </si>
  <si>
    <t>FUNC-GOV</t>
  </si>
  <si>
    <t>Video only, no audio</t>
  </si>
  <si>
    <t>Governance, roles and decision rights</t>
  </si>
  <si>
    <t>Who decides, who is accountable, and how disputes or resourcing gaps are resolved.</t>
  </si>
  <si>
    <t>Decision rights, reporting lines, formal agreements, accountability mechanisms.</t>
  </si>
  <si>
    <t>Descriptions of who does the work. That is CTX-HUB.</t>
  </si>
  <si>
    <t>Volta Star hub described as "assisted just in name": meetings never happened and local follow-up did not materialise.</t>
  </si>
  <si>
    <t>Objective 3 governance scorecard</t>
  </si>
  <si>
    <t>FUNC-OTHER</t>
  </si>
  <si>
    <t>Other functioning</t>
  </si>
  <si>
    <t>COST</t>
  </si>
  <si>
    <t>COST-CASH</t>
  </si>
  <si>
    <t>Cash cost line</t>
  </si>
  <si>
    <t>Obj 3 &amp; 5</t>
  </si>
  <si>
    <t>Money actually paid for an input: fees, airtime, per diems, fuel, materials, equipment.</t>
  </si>
  <si>
    <t>Any stated or reconstructed cash amount, with its basis.</t>
  </si>
  <si>
    <t>Donated or waived items. Those are COST-INKIND.</t>
  </si>
  <si>
    <t>Resource-person fee GHS 250 per session; airtime for a live broadcast GHS 1,200 to 1,300 per hour, against GHS 1,500 quoted by the producer.</t>
  </si>
  <si>
    <t>GH_KII_RadioSavannah_EO_10Aug_Summary, Module B and Section 3</t>
  </si>
  <si>
    <t>ROI cost base; Lens 1</t>
  </si>
  <si>
    <t>COST-INKIND</t>
  </si>
  <si>
    <t>In-kind or donated institutional contribution</t>
  </si>
  <si>
    <t>Studio session, piggery management episode</t>
  </si>
  <si>
    <t>A resource supplied by an organisation without cash changing hands: donated airtime, government staff time, offices, equipment, simulcast.</t>
  </si>
  <si>
    <t>Institutional contributions, valued at replacement cost where a basis is available.</t>
  </si>
  <si>
    <t>Individuals absorbing personal cost. That is COST-VOLUNTEER.</t>
  </si>
  <si>
    <t>The station charges no airtime as its contribution; a second station simulcasts the programme as corporate social responsibility. Stated again for Ghana on 9 September: the radio station covers the airtime and the ministry provides the extension officers who sit in on the show.</t>
  </si>
  <si>
    <t>Daily Field Progress Tracker, Ghana Field Notes, 17 Aug; GH_KII_RadioSavannah_EO_10Aug_Summary, Module A; internal analysis meeting, 9 Sept</t>
  </si>
  <si>
    <t>ROI cost base; true economic cost</t>
  </si>
  <si>
    <t>COST-VOLUNTEER</t>
  </si>
  <si>
    <t>Unpaid or personally subsidised labour</t>
  </si>
  <si>
    <t>HC</t>
  </si>
  <si>
    <t>Time, travel or materials absorbed by an individual rather than by any organisation.</t>
  </si>
  <si>
    <t>Volunteered time, personal fuel, own-cost travel, unpaid stand-ins.</t>
  </si>
  <si>
    <t>Do not merge with institutional in-kind.</t>
  </si>
  <si>
    <t>Resource persons have volunteered for the last one to two years and the extension officer drives at his own cost; "We are sustaining the thing with funds or no funding."</t>
  </si>
  <si>
    <t>GH_KII_RadioSavannah_EO_10Aug_Summary, Modules B and F</t>
  </si>
  <si>
    <t>ROI cost base; sustainability risk</t>
  </si>
  <si>
    <t>COST-SETUP</t>
  </si>
  <si>
    <t>Establishment or one-off cost</t>
  </si>
  <si>
    <t>Costs incurred to start or re-start a hub rather than to run it: equipment, initial training, installation.</t>
  </si>
  <si>
    <t>One-off items, with the year incurred.</t>
  </si>
  <si>
    <t>Recurring costs.</t>
  </si>
  <si>
    <t>Two recorders supplied historically, one to the station and one to MoFA; current working status unknown.</t>
  </si>
  <si>
    <t>Actual station manager. Not equivalent to the Ghana SM code</t>
  </si>
  <si>
    <t>GH_KII_RadioSavannah_EO_10Aug_Summary, Module B</t>
  </si>
  <si>
    <t>Replicability costing; SUST-RESTART</t>
  </si>
  <si>
    <t>COST-BOUNDARY</t>
  </si>
  <si>
    <t>Cost sitting above hub level</t>
  </si>
  <si>
    <t>Pakanyi Coffee Cooperative</t>
  </si>
  <si>
    <t>A cost the hub respondent is aware of but does not own: country coordination, platform licensing, institutional overhead.</t>
  </si>
  <si>
    <t>Any cost attributed to a level above the hub.</t>
  </si>
  <si>
    <t>Do not enter these in the hub cost table. Flag for the FRI cost request.</t>
  </si>
  <si>
    <t>No hub-level exemplar. The Ghana field notes record that MoFA extension officers and hub coordinators no longer clearly hold data on cost elements because the programme ended years ago.</t>
  </si>
  <si>
    <t>Cost boundary reconciliation with FRI</t>
  </si>
  <si>
    <t>COST-OTHER</t>
  </si>
  <si>
    <t>Other cost</t>
  </si>
  <si>
    <t>Entry</t>
  </si>
  <si>
    <t>Session ID</t>
  </si>
  <si>
    <t>Layer</t>
  </si>
  <si>
    <t>REACH</t>
  </si>
  <si>
    <t>Pointer</t>
  </si>
  <si>
    <t>REACH-AUDIENCE</t>
  </si>
  <si>
    <t>Audience size claim</t>
  </si>
  <si>
    <t>Obj 5</t>
  </si>
  <si>
    <t>Any estimate of how many people hear the programme, with the basis of the estimate.</t>
  </si>
  <si>
    <t>Second code</t>
  </si>
  <si>
    <t>Per-episode, per-week or total listenership figures.</t>
  </si>
  <si>
    <t>Do not record a figure without its basis and its population.</t>
  </si>
  <si>
    <t>Approximately 8,000 farmers per broadcast at Radio Savannah. In Uganda, station listenership broadly estimated at approximately 10 million, recorded as requiring further verification and not disaggregated by gender.</t>
  </si>
  <si>
    <t>Ghana Field Notes 10 Aug; Uganda Field Notes 24 Aug</t>
  </si>
  <si>
    <t>Passage or paraphrase</t>
  </si>
  <si>
    <t>ROI reach denominator</t>
  </si>
  <si>
    <t>Coder</t>
  </si>
  <si>
    <t>REACH-ENGAGE</t>
  </si>
  <si>
    <t>Query</t>
  </si>
  <si>
    <t>Active engagement measure</t>
  </si>
  <si>
    <t>Counts of people who did something: called in, beeped, responded to a poll, attended.</t>
  </si>
  <si>
    <t>Caller counts, response counts, participation counts.</t>
  </si>
  <si>
    <t>Do not conflate with audience size.</t>
  </si>
  <si>
    <t>15 to 20 callers in a 10 to 15 minute phone-in at Radio Savannah; approximately 20 calls per episode in a 15 minute window at Volta Star.</t>
  </si>
  <si>
    <t>GH_KII_RadioSavannah_SM_10Aug</t>
  </si>
  <si>
    <t>Ghana Field Notes 10 and 24 Aug</t>
  </si>
  <si>
    <t>GH_FGD_RadioSavannah_Sankpagla_01_14Aug</t>
  </si>
  <si>
    <t>ROI reach, active arm; passive versus active split</t>
  </si>
  <si>
    <t>Katweyambe Cooperative</t>
  </si>
  <si>
    <t>Kikuya community FGD 2</t>
  </si>
  <si>
    <t>REACH-PLATFORM</t>
  </si>
  <si>
    <t>Platform-derived engagement record</t>
  </si>
  <si>
    <t>27-Aug-2026</t>
  </si>
  <si>
    <t>Figures originating from the Uliza platform rather than from respondent recall.</t>
  </si>
  <si>
    <t>Radio Pacis</t>
  </si>
  <si>
    <t>TRN</t>
  </si>
  <si>
    <t>Unique respondents, hub rankings, poll responses, series records.</t>
  </si>
  <si>
    <t>TRN [00:35]</t>
  </si>
  <si>
    <t>TRN [03:00]</t>
  </si>
  <si>
    <t>Never treat as a complete audience measure. Uliza records connected call-backs only and has no calls-attempted denominator.</t>
  </si>
  <si>
    <t>Arua Hub</t>
  </si>
  <si>
    <t>The Masindi hub is ranked among the top five of the twelve participating hubs on the Uliza platform rankings.</t>
  </si>
  <si>
    <t>Uganda Field Notes, 24 Aug</t>
  </si>
  <si>
    <t>ROI reach denominator, Uganda</t>
  </si>
  <si>
    <t>n.a.</t>
  </si>
  <si>
    <t>Station manager, KII 1</t>
  </si>
  <si>
    <t>REACH-EPISODE</t>
  </si>
  <si>
    <t>Every Saturday night, we always listen to a programme on Radio Savannah before going to bed.</t>
  </si>
  <si>
    <t>My name is Adam Afishe. I am the producer for the hub.</t>
  </si>
  <si>
    <t>Output volume</t>
  </si>
  <si>
    <t>CB</t>
  </si>
  <si>
    <t>ASI</t>
  </si>
  <si>
    <t>16-Sept-26</t>
  </si>
  <si>
    <t>24-Sept-26</t>
  </si>
  <si>
    <t>Listening slot (Saturday night on Radio Savannah)</t>
  </si>
  <si>
    <t>Episodes broadcast in a period, and average episode length.</t>
  </si>
  <si>
    <t>Session counts, repeats, slot duration.</t>
  </si>
  <si>
    <t>Audience figures.</t>
  </si>
  <si>
    <t>48 sessions per year; slot 8 to 9pm, repeated on Sundays.</t>
  </si>
  <si>
    <t>Radio producer / Uliza manager, KII 2</t>
  </si>
  <si>
    <t>GH_KII_RadioSavannah_EO_10Aug_Summary, Section 3, C1 and C3</t>
  </si>
  <si>
    <t>TRN [02:21]</t>
  </si>
  <si>
    <t>Cost per episode; ROI denominator construction</t>
  </si>
  <si>
    <t>REACH-ABSENT</t>
  </si>
  <si>
    <t>So the program is very important, it has impacted a lot.</t>
  </si>
  <si>
    <t>Reach data not held</t>
  </si>
  <si>
    <t>Then, they educate us on when to cultivate groundnuts. We monitor the programme regularly to know when to start cultivation. When we listen and follow their advice religiously, we always get what we want.</t>
  </si>
  <si>
    <t>An explicit statement that the respondent has no reach figure, or that the platform cannot supply one.</t>
  </si>
  <si>
    <t>Radio presenter / field Uliza, KII 3</t>
  </si>
  <si>
    <t>Record as a positive finding, not a blank.</t>
  </si>
  <si>
    <t>Do not leave the module unmarked when reach was asked and not held.</t>
  </si>
  <si>
    <t>Recalled groundnut timing advice and trust based on consistent yield outcome</t>
  </si>
  <si>
    <t>TRN [02:14]</t>
  </si>
  <si>
    <t>"He holds no reach measure and defers to a 'formula' the station's presenter uses." Cross-hub note: none of the three Ghana stations uses Uliza, so respondents could not answer most reach and ROI questions.</t>
  </si>
  <si>
    <t>ECO</t>
  </si>
  <si>
    <t>GH_KII_RadioSavannah_EO_10Aug_Summary, Module C; Ghana Field Notes 24 Aug</t>
  </si>
  <si>
    <t>ROI limitations section; evidences the denominator gap</t>
  </si>
  <si>
    <t>No</t>
  </si>
  <si>
    <t>Not getting the agri-officer in their farm or in their homes, but on radio, whatever information they want, they get it on radio.</t>
  </si>
  <si>
    <t>REACH-OTHER</t>
  </si>
  <si>
    <t>TRN [04:33]</t>
  </si>
  <si>
    <t>Other reach</t>
  </si>
  <si>
    <t>KII 4</t>
  </si>
  <si>
    <t>They open the phone lines during the programme for people to ask questions that are bothering them and also give suggestions to make the programme very productive.</t>
  </si>
  <si>
    <t>TRN [01:33]</t>
  </si>
  <si>
    <t>Manzuokposi Farmers Group - Olevu</t>
  </si>
  <si>
    <t>GESI-ACCESS</t>
  </si>
  <si>
    <t>Interactive broadcast feature access via phone-in</t>
  </si>
  <si>
    <t>SUST</t>
  </si>
  <si>
    <t>Mixed farmer group, 40 farmers attended</t>
  </si>
  <si>
    <t>SUST-CONTINUE</t>
  </si>
  <si>
    <t>And a lot of us are into farming, especially women, and don't know how, they don't have knowledge in farming.</t>
  </si>
  <si>
    <t>Element continuing, and who pays</t>
  </si>
  <si>
    <t>Obj 3</t>
  </si>
  <si>
    <t>TRN [05:25]</t>
  </si>
  <si>
    <t>An element still running, with the payer named: government budget, station's own budget, another donor, a sponsor, community contribution, or unpaid time.</t>
  </si>
  <si>
    <t>Coded per element, with the payer. This is the code that separates the public-sector, private-sector and community hypotheses.</t>
  </si>
  <si>
    <t>Do not code without naming the payer.</t>
  </si>
  <si>
    <t>At Volta Star, production and airtime are active and station-funded; extension officer participation continues voluntarily at officers' own cost.</t>
  </si>
  <si>
    <t>KII 5</t>
  </si>
  <si>
    <t>TRN [02:42]</t>
  </si>
  <si>
    <t>Objective 3; the three sustainability hypotheses</t>
  </si>
  <si>
    <t>We also listen to the same programme every Saturday and Sunday night on Zaa Radio.</t>
  </si>
  <si>
    <t>Scheduling on secondary station</t>
  </si>
  <si>
    <t>SUST-LAPSE</t>
  </si>
  <si>
    <t>Yeah, we use it. Most of the program we use Uliza.</t>
  </si>
  <si>
    <t>Element stopped or reduced</t>
  </si>
  <si>
    <t>KII 6</t>
  </si>
  <si>
    <t>An element that has ceased or shrunk since support diminished, with what was lost.</t>
  </si>
  <si>
    <t>Coded per element.</t>
  </si>
  <si>
    <t>Something that never existed at that hub.</t>
  </si>
  <si>
    <t>TRN [03:01]</t>
  </si>
  <si>
    <t>Market-data field visits, listener-feedback visits and community outreach all cut; the "digging deep" segment continues.</t>
  </si>
  <si>
    <t>Daily Field Progress Tracker, Ghana Field Notes, 17 Aug</t>
  </si>
  <si>
    <t>Objective 3; SUST-RESTART costing</t>
  </si>
  <si>
    <t>But when you look at our coverage, we can estimate about 8,000 farmers listening to us.</t>
  </si>
  <si>
    <t>SUST-REVENUE</t>
  </si>
  <si>
    <t>Video only. Episode on pruning cocoa and bicycle financing</t>
  </si>
  <si>
    <t>Alternative radio channel without cost/efficiency data</t>
  </si>
  <si>
    <t>Programme or station revenue</t>
  </si>
  <si>
    <t>Money the programme or station actually receives: sponsorship, advertising, paid airtime, donations.</t>
  </si>
  <si>
    <t>Actual transactions, with amounts where given.</t>
  </si>
  <si>
    <t>TRN [06:08]</t>
  </si>
  <si>
    <t>Hypothetical or rate-card pricing. That is SUST-DEMAND-STATED.</t>
  </si>
  <si>
    <t>Ayelembe Women Group</t>
  </si>
  <si>
    <t>TRN [03:39]</t>
  </si>
  <si>
    <t>Zero Green Leaf revenue at Radio Savannah, no sponsorship, advertising or donations. At Volta Star paid demand exists at the station but separately from Green Leaf: Feed Ghana bought airtime and input dealers advertise on the agric programme. In Uganda the Masindi hub has three local organisations providing modest sponsorship. At Arua, three sponsors are reported to cover roughly four months, and agri-input businesses pay to be associated with the programme in order to be advertised to farmers. Thomas asked on 9 September that money of that kind be classified as advertising revenue rather than donation.</t>
  </si>
  <si>
    <t>Ghana Field Notes 10 and 24 Aug; Uganda Field Notes 24 Aug; internal analysis meeting, 9 Sept</t>
  </si>
  <si>
    <t>Women only</t>
  </si>
  <si>
    <t>ROI Lens 1; business model canvas</t>
  </si>
  <si>
    <t>Our timing is one hour.</t>
  </si>
  <si>
    <t>Some do not because they do not have radio sets. The majority of us monitor the programmes and inform the rest.</t>
  </si>
  <si>
    <t>SUST-DEMAND-REVEALED</t>
  </si>
  <si>
    <t>Revealed demand</t>
  </si>
  <si>
    <t>Alpha and Omega</t>
  </si>
  <si>
    <t>Lack of radio set as access barrier; shared information relay to non-listeners</t>
  </si>
  <si>
    <t>Obj 3 · Lens 1</t>
  </si>
  <si>
    <t>TRN [04:04]</t>
  </si>
  <si>
    <t>Someone approached the hub or station wanting to sponsor, buy airtime on, or redeploy a Green Leaf type programme, and money or a concrete offer was involved.</t>
  </si>
  <si>
    <t>Actual approaches, including the AGRA/PIATA and CABI redeployments.</t>
  </si>
  <si>
    <t>Never apply to a hypothetical willingness to pay.</t>
  </si>
  <si>
    <t>Recorded as explicitly absent at Volta Star: no approach to sponsor Green Leaf since donor exit, despite paid demand existing at the station for other agricultural content.</t>
  </si>
  <si>
    <t>Objective 3; the strongest evidence class in the business model</t>
  </si>
  <si>
    <t>So we only open our phone lines for 10 minutes.</t>
  </si>
  <si>
    <t>SUST-DEMAND-STATED</t>
  </si>
  <si>
    <t>Stated willingness to pay</t>
  </si>
  <si>
    <t>They usually inform us when to start ploughing our lands and also when to start cultivation. We also learn how to handle our seedlings and how to go about planting them.</t>
  </si>
  <si>
    <t>Obj 3 · Lens 4</t>
  </si>
  <si>
    <t>Hypothetical pricing, rate cards, or expressed interest without a transaction.</t>
  </si>
  <si>
    <t>Quoted rates, expressed appetite, conditional interest.</t>
  </si>
  <si>
    <t>TRN [04:34]</t>
  </si>
  <si>
    <t>Specific content recalled on land preparation, planting times, and seedling handling</t>
  </si>
  <si>
    <t>Never report alongside revealed demand without the distinction stated.</t>
  </si>
  <si>
    <t>Radio Pacis rate card supplied as a document rather than as a realised price.</t>
  </si>
  <si>
    <t>Rate Card for Radio Pacis.pdf, uploaded 1 Sep</t>
  </si>
  <si>
    <t>ROI Lens 4, with a stated-preference caveat</t>
  </si>
  <si>
    <t>But if he's able to pick, because the chief can pick more than 20 calls within that few minutes.</t>
  </si>
  <si>
    <t>TRN [07:16]</t>
  </si>
  <si>
    <t>SUST-RESTART</t>
  </si>
  <si>
    <t>Cost or condition of restarting</t>
  </si>
  <si>
    <t>What it would take to restore a lapsed element, and what would not need to be spent again.</t>
  </si>
  <si>
    <t>TRN [04:09]</t>
  </si>
  <si>
    <t>Through our daily conversations and meetings.</t>
  </si>
  <si>
    <t>Restart costs, retained assets, conditions.</t>
  </si>
  <si>
    <t>Current running costs.</t>
  </si>
  <si>
    <t>28-Sep-2026</t>
  </si>
  <si>
    <t>The synopsis bank and January to December calendar identified as the reason the hub survives personnel churn, and therefore as a retained asset.</t>
  </si>
  <si>
    <t>Information diffusion via informal chats and group meetings</t>
  </si>
  <si>
    <t>GH_KII_RadioSavannah_EO_10Aug_Summary, Section 4</t>
  </si>
  <si>
    <t>Replicability; scale-up costing</t>
  </si>
  <si>
    <t>Then the 10 minutes, even after the phone-in, we have to get in some time from the 10 minutes to give feedback to farmers who have called to ask questions.</t>
  </si>
  <si>
    <t>DATE ERROR in tracker: logged 28-Sep, almost certainly 28-Aug</t>
  </si>
  <si>
    <t>17-Sept-26</t>
  </si>
  <si>
    <t>SUST-OTHER</t>
  </si>
  <si>
    <t>TRN [08:32]</t>
  </si>
  <si>
    <t>Other sustainability</t>
  </si>
  <si>
    <t>TRN [05:21]</t>
  </si>
  <si>
    <t>We benefit so much from these radio programmes. We were told not to cultivate maize anymore because the maize cultivation period was over, so we should rather focus on beans instead.</t>
  </si>
  <si>
    <t>Recalled crop substitution directive (beans over maize due to seasonal window)</t>
  </si>
  <si>
    <t>On phone, live program, when you open phone lines, people call in to give a testimony how the program has helped them.</t>
  </si>
  <si>
    <t>Alternative extension model and its cost</t>
  </si>
  <si>
    <t>Arua District Cocoa Cooperative - Rundo</t>
  </si>
  <si>
    <t>Obj 4 &amp; 5 · Lens 2</t>
  </si>
  <si>
    <t>TRN [09:19]</t>
  </si>
  <si>
    <t>DATE ERROR in tracker. Nursery bed farmer</t>
  </si>
  <si>
    <t>Any other way farmers get agricultural information or extension support, set against Green Leaf either explicitly or by implication. Cost, coverage or efficiency information is recorded where the respondent gives it, but is not required for the passage to be coded.</t>
  </si>
  <si>
    <t>TRN [06:01]</t>
  </si>
  <si>
    <t>GESI-NORM</t>
  </si>
  <si>
    <t>Face-to-face extension, field schools, other digital services, other radio, television, and any stated preference between sources.</t>
  </si>
  <si>
    <t>Descriptions of Green Leaf on its own, with no other source in view.</t>
  </si>
  <si>
    <t>A single community field trip costs roughly GHS 4,030 and reaches one community; a studio session costs GHS 250 in resource-person fee plus airtime and reaches the whole coverage area.</t>
  </si>
  <si>
    <t>GH_KII_RadioSavannah_EO_10Aug_Summary, Module G</t>
  </si>
  <si>
    <t>In our locality, we believe that women do not plant trees because children will disturb them, and if you talk, they will say you hate children and tag you as a witch.</t>
  </si>
  <si>
    <t>ROI Lens 2 where quantified is Yes; Objective 4 positioning in every case</t>
  </si>
  <si>
    <t>On the Farm Radio platform, they introduce us to Uganda, how they practice their farming.</t>
  </si>
  <si>
    <t>Gender taboo/social norm restricting women from planting trees</t>
  </si>
  <si>
    <t>Recording status blank. Cocoa, integrated farming</t>
  </si>
  <si>
    <t>ECO-POLICY</t>
  </si>
  <si>
    <t>National strategy and institutional fit</t>
  </si>
  <si>
    <t>Obj 4</t>
  </si>
  <si>
    <t>Alignment with, or absence from, national extension or digital agriculture strategy.</t>
  </si>
  <si>
    <t>Named strategies, policies, ministry positions.</t>
  </si>
  <si>
    <t>Hub-level governance. That is FUNC-GOV.</t>
  </si>
  <si>
    <t>The MoFA regional office runs no radio programming of its own, has no current liaison with the station, and has had no radio budget line since decentralisation.</t>
  </si>
  <si>
    <t>Recording status blank. Goats and chicken</t>
  </si>
  <si>
    <t>Objective 4; institutional anchoring</t>
  </si>
  <si>
    <t>So we record our programs all the time.</t>
  </si>
  <si>
    <t>We were also advised to plant trees like cashew, mango, etc... The majority of the women here do not have radio sets, so we always tell them what we learned after the radio program.</t>
  </si>
  <si>
    <t>31-Aug-2026</t>
  </si>
  <si>
    <t>Specific advice on tree planting (cashew/mango) and onward peer sharing to set-less women</t>
  </si>
  <si>
    <t>Ateker FM</t>
  </si>
  <si>
    <t>ECO-ACTOR</t>
  </si>
  <si>
    <t>Moroto Hub</t>
  </si>
  <si>
    <t>Other ecosystem actor</t>
  </si>
  <si>
    <t>TRN [10:38]</t>
  </si>
  <si>
    <t>Station manager</t>
  </si>
  <si>
    <t>Another organisation operating in the same space, named by a respondent.</t>
  </si>
  <si>
    <t>Other stations, agritech firms, NGOs, aggregators.</t>
  </si>
  <si>
    <t>TRN [12:02]</t>
  </si>
  <si>
    <t>Partners of this hub. That is FUNC-PARTNER.</t>
  </si>
  <si>
    <t>The regional department also works with other stations including a named commercial FM station; a free ministerial slot was offered to MoFA on another station.</t>
  </si>
  <si>
    <t>We go out, they provide a car.</t>
  </si>
  <si>
    <t>Daily Field Progress Tracker, Ghana Field Notes, 17 and 24 Aug</t>
  </si>
  <si>
    <t>Objective 4 ecosystem map</t>
  </si>
  <si>
    <t>others do not because they do not have radio sets. Other radio sets are spoilt.</t>
  </si>
  <si>
    <t>ECO-OTHER</t>
  </si>
  <si>
    <t>Radio presenter / field Uliza</t>
  </si>
  <si>
    <t>Other ecosystem</t>
  </si>
  <si>
    <t>Access barrier (lack of radio sets / broken receivers)</t>
  </si>
  <si>
    <t>TRN [11:07]</t>
  </si>
  <si>
    <t>TRN [13:35]</t>
  </si>
  <si>
    <t>600 Ghanas, that's per night.</t>
  </si>
  <si>
    <t>Organic mulches and compost episode</t>
  </si>
  <si>
    <t>Differential access by sex or group</t>
  </si>
  <si>
    <t>Lack of capital to start farming. Inadequate farm machinery and seedlings. We need enough money to plough our lands and hire tractors for farming.</t>
  </si>
  <si>
    <t>cross</t>
  </si>
  <si>
    <t>Obj 1 · GESI</t>
  </si>
  <si>
    <t>Nabuin Farmer's Group, Katikelile</t>
  </si>
  <si>
    <t>Financial and input obstacles preventing practice adoption</t>
  </si>
  <si>
    <t>Any account of one group having more or less access to the broadcast, to inputs, or to extension.</t>
  </si>
  <si>
    <t>Stated differences in access, ownership or entitlement.</t>
  </si>
  <si>
    <t>Differences in outcome with no access mechanism given.</t>
  </si>
  <si>
    <t>we have to buy drinks and water.</t>
  </si>
  <si>
    <t>"Lack of access to farm inputs, land and capital to start. Men give women land to farm and women dont own land necessarily."</t>
  </si>
  <si>
    <t>GESI reporting; ROI sex disaggregation</t>
  </si>
  <si>
    <t>TRN [14:02]</t>
  </si>
  <si>
    <t>Kiteyiarae Farmer's Group, Nadunget</t>
  </si>
  <si>
    <t>Social norm affecting participation</t>
  </si>
  <si>
    <t>TRN [12:26]</t>
  </si>
  <si>
    <t>Mixed group</t>
  </si>
  <si>
    <t>We share the lands with our husbands... Land is usually the problem. Some of the men travel very far into the bush in search of land, but the women cannot do so because of their children.</t>
  </si>
  <si>
    <t>A belief or convention that shapes who may listen, speak, attend or adopt.</t>
  </si>
  <si>
    <t>Norms, taboos, expectations, permissions.</t>
  </si>
  <si>
    <t>Airtime, one hour is 1,500.</t>
  </si>
  <si>
    <t>Logistical barriers.</t>
  </si>
  <si>
    <t>Differential land access for women due to childcare obligations</t>
  </si>
  <si>
    <t>Programme advice on afforestation met with the norm that a woman does not plant a tree or she will die; the group was advised the tree need not be planted in front of her house.</t>
  </si>
  <si>
    <t>Nabuin Farmer's Group member</t>
  </si>
  <si>
    <t>GESI reporting; content design</t>
  </si>
  <si>
    <t>Video only, farm visit</t>
  </si>
  <si>
    <t>GESI-ROLE</t>
  </si>
  <si>
    <t>TRN [16:13]</t>
  </si>
  <si>
    <t>TRN [12:37]-[12:47]</t>
  </si>
  <si>
    <t>Women's institutional representation</t>
  </si>
  <si>
    <t>G</t>
  </si>
  <si>
    <t>Obj 1 · RQ6</t>
  </si>
  <si>
    <t>Presence, absence or effectiveness of women's agricultural roles in the hub, including WIAD and WIADO.</t>
  </si>
  <si>
    <t>Kiteyiarae Farmer's Group member</t>
  </si>
  <si>
    <t xml:space="preserve">Paraphrase: asked whether the programme generates sponsorship, advertising or listener donation revenue, she answers 'No' </t>
  </si>
  <si>
    <t>sometimes the prices of the produce vary. Maize, groundnuts, soyabeans may have different prices due to the location, and this has been the biggest challenge for years now.</t>
  </si>
  <si>
    <t>Named officers, representation on the roster, coverage of women's topics.</t>
  </si>
  <si>
    <t>Farmer-level gender findings.</t>
  </si>
  <si>
    <t>WIAD is represented in the hub roster and nutrition topics are carried by a named female specialist. At Volta Star the WIAD officer is in post and co-presents.</t>
  </si>
  <si>
    <t>Price volatility and spatial market location barriers</t>
  </si>
  <si>
    <t>GH_KII_RadioSavannah_EO_10Aug_Summary, Module I; Ghana Field Notes 24 Aug</t>
  </si>
  <si>
    <t>Objective 2; Inception Report Table 13 commitment</t>
  </si>
  <si>
    <t>GESI-GAP</t>
  </si>
  <si>
    <t>GESI protocol departure</t>
  </si>
  <si>
    <t>GESI standard</t>
  </si>
  <si>
    <t>TRN [19:09]</t>
  </si>
  <si>
    <t>A design commitment on inclusion that was not met in the field.</t>
  </si>
  <si>
    <t>Missing women-only sessions, unbalanced participation, unrecorded composition.</t>
  </si>
  <si>
    <t>Substantive findings about gender.</t>
  </si>
  <si>
    <t>No women-only FGD was run in any of the three Volta Star communities; all three were mixed, though women took part in each. Stated on 9 September that the fifteen-fifteen gender balance target was not achieved in the Ghana fieldwork: women frequently did not attend, and where one or two did the team ran an IDI rather than an FGD. In the single community where a women-only FGD did run, men positioned themselves within listening distance, so the session was not in practice women-only.</t>
  </si>
  <si>
    <t>Daily Field Progress Tracker, Ghana Field Notes, 25 Aug; internal analysis meeting, 9 Sept</t>
  </si>
  <si>
    <t>TRN [13:25]</t>
  </si>
  <si>
    <t>They do not visit us. We depend on the radio programs that we monitor.</t>
  </si>
  <si>
    <t>Limitations section; must appear in the case study</t>
  </si>
  <si>
    <t>Comparison between absent face-to-face extension officers and radio broadcasts</t>
  </si>
  <si>
    <t>GESI-OTHER</t>
  </si>
  <si>
    <t>Other GESI</t>
  </si>
  <si>
    <t>But with the Greenleaf, we have market prices, food prices that we want to give.</t>
  </si>
  <si>
    <t>Hub coordinator is a district veterinary officer</t>
  </si>
  <si>
    <t>TRN [15:12] [15:26]</t>
  </si>
  <si>
    <t>They sometimes inform us about the rainfall pattern, whether there will be enough rain this year or not. They also educate us on rainstorms and their preventive measures.</t>
  </si>
  <si>
    <t>Recalled weather/rainfall forecasts and rainstorm mitigation practices</t>
  </si>
  <si>
    <t>Paraphrase: asked what a sponsor would pay for a slot, she could not say and referred the question to the station's marketing director.</t>
  </si>
  <si>
    <t>Recording status blank</t>
  </si>
  <si>
    <t>TRN [22:10]</t>
  </si>
  <si>
    <t>TRN [15:47]</t>
  </si>
  <si>
    <t>Ghana (ecosystem)</t>
  </si>
  <si>
    <t>09-Sep-2026</t>
  </si>
  <si>
    <t>Ecosystem (national)</t>
  </si>
  <si>
    <t>We receive information from our colleagues who have radio sets and also from our husbands.</t>
  </si>
  <si>
    <t>Farmerline</t>
  </si>
  <si>
    <t>You know, we don't have sponsors since last year, but we still continue.</t>
  </si>
  <si>
    <t>Relayed access via husbands and peers</t>
  </si>
  <si>
    <t>Digital service provider</t>
  </si>
  <si>
    <t>Remote interview on the e-extension ecosystem. Added 9 Sept, transcript pending. Name rendered 'Pharma line' in the meeting record, confirm spelling</t>
  </si>
  <si>
    <t>TRN [16:44]</t>
  </si>
  <si>
    <t>10-Sep-2026</t>
  </si>
  <si>
    <t>Esoko</t>
  </si>
  <si>
    <t>Marketing will come in.</t>
  </si>
  <si>
    <t>Government support usually delays, and this always affects us. By the time fertilizers get to you, you cannot apply them to the crops again.</t>
  </si>
  <si>
    <t>Delayed fertilizer delivery as an adoption barrier</t>
  </si>
  <si>
    <t>Remote interview on the e-extension ecosystem. Added 9 Sept, transcript pending. Name rendered 'Isoco' in the meeting record, confirm spelling. Newtown dropped, no longer active</t>
  </si>
  <si>
    <t>TRN [17:53]</t>
  </si>
  <si>
    <t>So, because we don't have sponsorship, we come live and they repeat.</t>
  </si>
  <si>
    <t>Notes on this register</t>
  </si>
  <si>
    <t>We also monitor similar programs on TV to improve our farm work.</t>
  </si>
  <si>
    <t>GH_KII_RadioSavannah_EO_10Aug</t>
  </si>
  <si>
    <t>Alternative extension source (TV) without quantitative metrics</t>
  </si>
  <si>
    <t>TRN [01:55]</t>
  </si>
  <si>
    <t>TRN [26:03]</t>
  </si>
  <si>
    <t>This register is the record of what was collected. Ahmed proposed in his review of 9 September that it become the single authoritative count, replacing the shared sheet and the separate export, with the shared sheet generated from it as a view, and with three checks run on every update: every session folder has a row here, every row has a folder, and every session ID follows the Field Protocol convention. That proposal is not yet agreed. Yellow columns are for the coding team to fill.</t>
  </si>
  <si>
    <t>My role is as a resource person.</t>
  </si>
  <si>
    <t>ADRA also came to support us; they gave us fertilizers and cultivated an acre of land for us. After harvesting, they took our produce to the market for sale and gave us our money.</t>
  </si>
  <si>
    <t>TRN [02:31]</t>
  </si>
  <si>
    <t>Non-governmental organization (ADRA) operating in extension and input space</t>
  </si>
  <si>
    <t>GH_FGD_VoltaStar_FodomeXelu_01_25Aug</t>
  </si>
  <si>
    <t>There was then the extension officer, Mr. Diklek.</t>
  </si>
  <si>
    <t>TRN [02:04]</t>
  </si>
  <si>
    <t>TRN [03:37]</t>
  </si>
  <si>
    <t>And their neighbors.</t>
  </si>
  <si>
    <t>Informal peer source of information</t>
  </si>
  <si>
    <t>It's like it was through the dust that it started.</t>
  </si>
  <si>
    <t>Ghana: 36 community and hub sessions. The tracker's own summary tab totals 37 and attributes a field observation to Garden City Radio that has no corresponding row in the session log. That discrepancy is still open.</t>
  </si>
  <si>
    <t>TRN [02:08]</t>
  </si>
  <si>
    <t>TRN [03:41]</t>
  </si>
  <si>
    <t>Even TV.</t>
  </si>
  <si>
    <t>When EFU came, it increased because regional data was added to the hub.</t>
  </si>
  <si>
    <t>Alternative media source without quantitative metrics</t>
  </si>
  <si>
    <t>Two national ecosystem interviews were added on 9 September and are listed at the end of the Ghana block. They are national-level e-extension actors rather than community or hub sessions, so they are counted separately and do not change the figure of 36. The company names are rendered in the meeting record as Pharma line and Isoco and are given here as Farmerline and Esoko; confirm the spelling with Ahmed before either name is published.</t>
  </si>
  <si>
    <t>TRN [04:42]</t>
  </si>
  <si>
    <t>TRN [02:16]-[02:28]</t>
  </si>
  <si>
    <t>Yes, apart from Dr. Mutare, who is from Misari.</t>
  </si>
  <si>
    <t>Radio. Radio. Oh, radio.</t>
  </si>
  <si>
    <t>Primary broadcast access channel</t>
  </si>
  <si>
    <t>TRN [05:44]</t>
  </si>
  <si>
    <t>TRN [02:38]</t>
  </si>
  <si>
    <t>Uganda: 47 sessions, matching the summary tab. Three Radio Pacis rows are dated 28 September, which is in the future and is almost certainly 28 August. The rows below keep the date as the tracker records it and flag the error in the note column, so nothing is silently corrected.</t>
  </si>
  <si>
    <t>topic necessity, if it comes to health, we invite them to come.</t>
  </si>
  <si>
    <t>So, do they listen to the radio program on Sundays from Volta Star?</t>
  </si>
  <si>
    <t>Broadcast day and station slot</t>
  </si>
  <si>
    <t>TRN [04:51]</t>
  </si>
  <si>
    <t>TRN [03:08]-[03:28]</t>
  </si>
  <si>
    <t>So during the IFWU's time, we prepared the synopsis.</t>
  </si>
  <si>
    <t>Uploaded is blank for every Uganda row and marked N for seven Ghana rows. This figure has already been shown to the client, so it needs Mrignaina's agreement before it is revised.</t>
  </si>
  <si>
    <t>He said he heard on the radio that cowpea, the red cowpea, from January to June, you plant the cowpea, the red cowpea. From June to December, that's when you plant the white one. The white one.</t>
  </si>
  <si>
    <t>Specific recalled planting schedule for red vs white cowpea varieties</t>
  </si>
  <si>
    <t>TRN [05:57]</t>
  </si>
  <si>
    <t>TRN [04:02]</t>
  </si>
  <si>
    <t>For me, we have a set of, starting from January up to December.</t>
  </si>
  <si>
    <t>And it's enriching their knowledge.</t>
  </si>
  <si>
    <t>Two trackers are in use and diverge. Ghana field notes are current only to 28 August, and Uganda updates have been going into the wrong document and are being copied across by hand. Confirmed on the internal call of 9 September.</t>
  </si>
  <si>
    <t>TRN [06:36]</t>
  </si>
  <si>
    <t>General appreciation of benefit without specific content</t>
  </si>
  <si>
    <t>They have a time they repeat.</t>
  </si>
  <si>
    <t>TRN [06:20]</t>
  </si>
  <si>
    <t>TRN [08:09]</t>
  </si>
  <si>
    <t>They trust radio that they research before they come out with the information on radio.</t>
  </si>
  <si>
    <t>SM is not equivalent across the two countries. Ghana coded presenters and producers under SM on the hub's recommendation; Uganda coded actual station managers. John described on 9 September how at Masindi the programme manager was interviewed as though he held the station manager role, and the actual station manager was identified and interviewed the following day, which is part of why that hub carries four KIIs. Do not pool hub-level codes across countries until this is settled.</t>
  </si>
  <si>
    <t>Trust grounded in research and pre-broadcast preparation</t>
  </si>
  <si>
    <t>So due to that, I have also picked one gentleman in Tolong District.</t>
  </si>
  <si>
    <t>TRN [06:56]-[07:12]</t>
  </si>
  <si>
    <t>TRN [08:30]</t>
  </si>
  <si>
    <t>Before they even go on air, they have pre-chats with the radio station, and the station is aware of whatever information they want to put across. And then they are given the chance before they come on air. Knowing very well that the radio station, knowing very well that if there's an amount of deceit, it will lose its credibility.</t>
  </si>
  <si>
    <t>And there's a private TV station that's Rama TV.</t>
  </si>
  <si>
    <t>Trust grounded in editorial discipline, station vetting, and reputational stake</t>
  </si>
  <si>
    <t>Transcription outstanding as at 9 September: Ghana local-language interviews are still being translated into English, and Moroto is the only Uganda hub not yet transcribed. Masindi and Arua are complete. Any session needing translation cannot be scheduled for coding until an owner and a date exist for that translation.</t>
  </si>
  <si>
    <t>TRN [09:08]</t>
  </si>
  <si>
    <t>TRN [07:35]-[08:03]</t>
  </si>
  <si>
    <t>We are doing this one through voluntary.</t>
  </si>
  <si>
    <t>They have farmer associations. They have farmer associations, okay. So, when they go to their association meetings, they share whatever information that they hear.</t>
  </si>
  <si>
    <t>Content diffusion through organized farmer association meetings</t>
  </si>
  <si>
    <t>Verify before use: the Moroto record states that Uliza is active there and in the same sentence that farmers do not know the platform. Check against the audio. REACH-PLATFORM is Uganda-only, so this affects the only evidence base for that code.</t>
  </si>
  <si>
    <t>TRN [10:53]</t>
  </si>
  <si>
    <t>TRN [08:45]-[09:19]</t>
  </si>
  <si>
    <t>But for us, we have continued.</t>
  </si>
  <si>
    <t>This community is not everybody that is into farming... So, when there's such a person in this community, it's likely they may not be interested in the agriculture.</t>
  </si>
  <si>
    <t>Non-farming occupation as a factor in non-exposure</t>
  </si>
  <si>
    <t>TRN [09:52]-[10:03]</t>
  </si>
  <si>
    <t>Paraphrased: a per-session payment under the earlier funder ('402 under Ghana City', [09:53]) is no longer paid ('that one is not there', [10:03]).</t>
  </si>
  <si>
    <t>Resource person rate per session (250 GHS) totaling 12,000 GHS/yr | coder marked Quantified=Yes</t>
  </si>
  <si>
    <t>TRN [10:05]</t>
  </si>
  <si>
    <t>Rate card quote for live broadcast airtime per hour</t>
  </si>
  <si>
    <t>During the phone in call, we have people call as well from Northeast.</t>
  </si>
  <si>
    <t>TRN [02:34]</t>
  </si>
  <si>
    <t>TRN [11:03]</t>
  </si>
  <si>
    <t>He's now with the Director of Agricultural Investigation.</t>
  </si>
  <si>
    <t>Because it's free.</t>
  </si>
  <si>
    <t>Resource person expense/stipend allowance</t>
  </si>
  <si>
    <t>TRN [13:54]</t>
  </si>
  <si>
    <t>TRN [02:39]</t>
  </si>
  <si>
    <t>So with the resource prices, if you are given 250 per section, that will give you 12,000, isn't it?</t>
  </si>
  <si>
    <t>She's now the Director of the Sub-Zone.</t>
  </si>
  <si>
    <t>Community pre-recording methodology &amp; staffing setup</t>
  </si>
  <si>
    <t>TRN [14:07]</t>
  </si>
  <si>
    <t>TRN [02:47]</t>
  </si>
  <si>
    <t>Something between 1,200,  &amp; 1,300.</t>
  </si>
  <si>
    <t>18-Sept-26</t>
  </si>
  <si>
    <t>By now, she's the Director of the Number Sub-Zone.</t>
  </si>
  <si>
    <t>Field recording trip cost components (per diems and fuel)</t>
  </si>
  <si>
    <t>TRN [15:04]</t>
  </si>
  <si>
    <t>TRN [02:50]</t>
  </si>
  <si>
    <t>This can be divided by the four person.</t>
  </si>
  <si>
    <t>TRN [15:14]</t>
  </si>
  <si>
    <t>So later on, I joined before Selina.</t>
  </si>
  <si>
    <t>Yes</t>
  </si>
  <si>
    <t>Reconstructed annual field trip cost estimate (88,660 GHS)</t>
  </si>
  <si>
    <t>The actual course or the multi-course is that we go to the community to talk to the farmers first.</t>
  </si>
  <si>
    <t>TRN [02:54]</t>
  </si>
  <si>
    <t>TRN [15:41]</t>
  </si>
  <si>
    <t>Later on, I came in to join because of the resource person and the language barrier.</t>
  </si>
  <si>
    <t>At that time, they give us two, one for the radio station, and we are having one.</t>
  </si>
  <si>
    <t>District budget contribution named as payer</t>
  </si>
  <si>
    <t>TRN [16:28]</t>
  </si>
  <si>
    <t>And secondly, Salah took over from WIAT.</t>
  </si>
  <si>
    <t>And we are giving the driver $280.</t>
  </si>
  <si>
    <t>Recording equipment asset line</t>
  </si>
  <si>
    <t>TRN [16:30]</t>
  </si>
  <si>
    <t>TRN [03:08]</t>
  </si>
  <si>
    <t>And the officers, and the officers $350.</t>
  </si>
  <si>
    <t>And Utu also came for Diklek as the Regional Extension Officer.</t>
  </si>
  <si>
    <t>Feedback collection via text messaging</t>
  </si>
  <si>
    <t>TRN [17:13]</t>
  </si>
  <si>
    <t>TRN [03:14]</t>
  </si>
  <si>
    <t>The fuel to Zabu Zomu, in and out, and going to the community.</t>
  </si>
  <si>
    <t>So now with that one, EFU came in to support.</t>
  </si>
  <si>
    <t>Multi-resource person studio roster composition</t>
  </si>
  <si>
    <t>TRN [18:52]</t>
  </si>
  <si>
    <t>So that will be like 4,030 gallons to this.</t>
  </si>
  <si>
    <t>TRN [03:20]</t>
  </si>
  <si>
    <t>So if I understand correctly, the dust is what FRI was funding?</t>
  </si>
  <si>
    <t>TRN [19:02]</t>
  </si>
  <si>
    <t>So we have like 88,660 gallons to this per year.</t>
  </si>
  <si>
    <t>TRN [03:28]</t>
  </si>
  <si>
    <t>TRN [19:10]</t>
  </si>
  <si>
    <t>And then EFU came in after that.</t>
  </si>
  <si>
    <t>Alternative media source without quantitative metrics | coder marked Quantified=No</t>
  </si>
  <si>
    <t>We have 12,000 from the district.</t>
  </si>
  <si>
    <t>TRN [19:37]</t>
  </si>
  <si>
    <t>Then when we come, then we can now answer it.</t>
  </si>
  <si>
    <t>TRN [20:31]</t>
  </si>
  <si>
    <t>TRN [04:38]</t>
  </si>
  <si>
    <t>Then the weatherman, if you have another problem there, sometimes he comes with the interpreter</t>
  </si>
  <si>
    <t>So these resource persons are from MOFA?</t>
  </si>
  <si>
    <t>TRN [22:32]</t>
  </si>
  <si>
    <t>Like you said, there is a formula.</t>
  </si>
  <si>
    <t>19-Sept-26</t>
  </si>
  <si>
    <t>TRN [22:53]</t>
  </si>
  <si>
    <t>TRN [04:47]</t>
  </si>
  <si>
    <t>That time, most of the farmers are to the mosque for prayers and it disrupted a lot.</t>
  </si>
  <si>
    <t>Yes, where all of us are from MOFA staffs.</t>
  </si>
  <si>
    <t>TRN [23:07]</t>
  </si>
  <si>
    <t>And we move now from 8 to 9 o'clock.</t>
  </si>
  <si>
    <t>TRN [23:20]</t>
  </si>
  <si>
    <t>Oh, the chief has recorded.</t>
  </si>
  <si>
    <t>TRN [05:06]</t>
  </si>
  <si>
    <t>TRN [24:34]</t>
  </si>
  <si>
    <t>One, now Professor Pascal, he retired from University of Ghana.</t>
  </si>
  <si>
    <t>Then our private sector is our pharmacy.</t>
  </si>
  <si>
    <t>TRN [25:19]</t>
  </si>
  <si>
    <t>TRN [05:12]</t>
  </si>
  <si>
    <t>We already have the bureau's topics, the synopsis, so you just apply and it's in there.</t>
  </si>
  <si>
    <t>They brought various, we programmed the synopsis, the presentations on the various topics.</t>
  </si>
  <si>
    <t>TRN [25:40]</t>
  </si>
  <si>
    <t>TRN [05:37]</t>
  </si>
  <si>
    <t>There is WhatsApp platforms.</t>
  </si>
  <si>
    <t>20-Sept-26</t>
  </si>
  <si>
    <t>health, the health sector.</t>
  </si>
  <si>
    <t>TRN [05:40]</t>
  </si>
  <si>
    <t>TRN [27:59]</t>
  </si>
  <si>
    <t>Sometimes, when they have funding, then they will not go and copy the program.</t>
  </si>
  <si>
    <t>When they come back, the health sector, they are not part of the hub, but because of the</t>
  </si>
  <si>
    <t>TRN [05:52]</t>
  </si>
  <si>
    <t>And the weather people is part, because agriculture goes through weather.</t>
  </si>
  <si>
    <t>TRN [28:14]</t>
  </si>
  <si>
    <t>We are sustaining the thing with funds or no funding.</t>
  </si>
  <si>
    <t>TRN [28:58]</t>
  </si>
  <si>
    <t>Like in the dry season, we talk of animal feeding on the dry season.</t>
  </si>
  <si>
    <t>some funding from organizations, maybe NGOs or other things.</t>
  </si>
  <si>
    <t>TRN [06:18]</t>
  </si>
  <si>
    <t>TRN [29:23]</t>
  </si>
  <si>
    <t>And these are the topics.</t>
  </si>
  <si>
    <t>As we speak, look at how busy I am.</t>
  </si>
  <si>
    <t>TRN [06:25]</t>
  </si>
  <si>
    <t>TRN [30:28]</t>
  </si>
  <si>
    <t>Just recently, we treated herbicides.</t>
  </si>
  <si>
    <t>That's another source of motivation.</t>
  </si>
  <si>
    <t>Alternative radio channel without cost/efficiency data | coder marked Quantified=No</t>
  </si>
  <si>
    <t>TRN [03:00] P1</t>
  </si>
  <si>
    <t>TRN [07:02]</t>
  </si>
  <si>
    <t>22-Sept-26</t>
  </si>
  <si>
    <t>But when Rosemond was sharing, she also shared that you are an extension officer.</t>
  </si>
  <si>
    <t>TRN [07:14]</t>
  </si>
  <si>
    <t>Then, they educate us on when to cultivate groundnuts. We monitor the programme regularly to know when to start cultivation.</t>
  </si>
  <si>
    <t>You know, the point is, like I said, I am an agronomist.</t>
  </si>
  <si>
    <t>When we listen and follow their advice religiously, we always get what we want.</t>
  </si>
  <si>
    <t>TRN [07:22]</t>
  </si>
  <si>
    <t>TRN [04:33] P1</t>
  </si>
  <si>
    <t>In an agronomist, you do everything.</t>
  </si>
  <si>
    <t>TRN [07:41]</t>
  </si>
  <si>
    <t>TRN [05:25] P2</t>
  </si>
  <si>
    <t>And then he will do his extension, like I said, language barrier.</t>
  </si>
  <si>
    <t>TRN [07:56]</t>
  </si>
  <si>
    <t>TRN [06:08] P2</t>
  </si>
  <si>
    <t>Not all of us. Some do not because they do not have radio sets.</t>
  </si>
  <si>
    <t>Because of his language barrier.</t>
  </si>
  <si>
    <t>The majority of us monitor the programmes and inform the rest.</t>
  </si>
  <si>
    <t>TRN [07:16] P2</t>
  </si>
  <si>
    <t>TRN [08:36]</t>
  </si>
  <si>
    <t>Rama TV.</t>
  </si>
  <si>
    <t>TRN [08:32] P2</t>
  </si>
  <si>
    <t>We were told not to cultivate maize anymore because the maize cultivation period was over, so we should rather focus on beans instead.</t>
  </si>
  <si>
    <t>TRN [08:57]</t>
  </si>
  <si>
    <t>TRN [09:19] P1</t>
  </si>
  <si>
    <t>So Rama TV, I also decided to dedicate their social responsibilities.</t>
  </si>
  <si>
    <t>We were also advised to plant trees like cashew, mango, etc.</t>
  </si>
  <si>
    <t>In our locality, we believe that women do not plant trees because children will disturb them, and if you talk, they will say you hate children and tag you as a witch. I mentioned this during the radio program and they told me that it is never true.</t>
  </si>
  <si>
    <t>TRN [09:28]</t>
  </si>
  <si>
    <t>But for me, the good thing is that we are continuing with, despite there's not enough</t>
  </si>
  <si>
    <t>The majority of the women here do not have radio sets, so we always tell them what we learned after the radio program.</t>
  </si>
  <si>
    <t>TRN [12:02] P3</t>
  </si>
  <si>
    <t>TRN [09:50]</t>
  </si>
  <si>
    <t>We do, but others do not because they do not have radio sets. Other radio sets are spoilt.</t>
  </si>
  <si>
    <t>Comparison between absent face-to-face extension officers and radio broadcasts | coder marked Quantified=No</t>
  </si>
  <si>
    <t>TRN [13:35] P2</t>
  </si>
  <si>
    <t>TRN [10:04]</t>
  </si>
  <si>
    <t>Fortunately, we do Savannah to have a large coverage.</t>
  </si>
  <si>
    <t>TRN [14:02] P1</t>
  </si>
  <si>
    <t>We share the lands with our husbands. They will clear enough land for both of us. If the land is small, they cannot share it because they will have to cultivate varieties of crops such as maize, soya beans, groundnuts, etc.</t>
  </si>
  <si>
    <t>TRN [10:06]</t>
  </si>
  <si>
    <t>People call as far as Savannah.</t>
  </si>
  <si>
    <t>Land is usually the problem. Some of the men travel very far into the bush in search of land, but the women cannot do so because of their children.</t>
  </si>
  <si>
    <t>TRN [10:29]</t>
  </si>
  <si>
    <t>TRN [16:13] not labelled</t>
  </si>
  <si>
    <t>in Ghana, they connect.</t>
  </si>
  <si>
    <t>Yes, sometimes the prices of the produce vary. Maize, groundnuts, soyabeans may have different prices due to the location, and this has been the biggest challenge for years now.</t>
  </si>
  <si>
    <t>TRN [10:31]</t>
  </si>
  <si>
    <t>TRN [19:09] P1</t>
  </si>
  <si>
    <t>Through the program, they connect.</t>
  </si>
  <si>
    <t>Alternative extension source (TV) without quantitative metrics | coder marked Quantified=No</t>
  </si>
  <si>
    <t>TRN [10:51]</t>
  </si>
  <si>
    <t>no any sponsorship.</t>
  </si>
  <si>
    <t>TRN [22:10] P1</t>
  </si>
  <si>
    <t>TRN [11:17]</t>
  </si>
  <si>
    <t>He need to send the money to people who cannot, excuse me to say, who don't have eyes to</t>
  </si>
  <si>
    <t>TRN [13:54]-[14:04]</t>
  </si>
  <si>
    <t>So with the resource prices, if you are given 250 per section, that will give you 12,000, isn't it? That will give you 12,000. But that's the resource they say.</t>
  </si>
  <si>
    <t>TRN [14:07]-[14:22]</t>
  </si>
  <si>
    <t>The radio station, a live broadcast, they will tell you that I was still small and terrible. Something between 1,200, 1,300. Per hour. Per hour. A live presentation will do.</t>
  </si>
  <si>
    <t>TRN [26:03] P3</t>
  </si>
  <si>
    <t>Are you here to help us or are you here for your own gain? Because we have encountered many instances where some organizations came and interrogated us, took our Ghana cards and phone numbers, and that was the end of it.</t>
  </si>
  <si>
    <t>TRN [14:28]</t>
  </si>
  <si>
    <t>But we just box it together because there is wear and tear and everything, but we think that anybody who goes for the program, if it's given that 250, it's something that can make them feel uncomfortable to take food and other expenses to our side.</t>
  </si>
  <si>
    <t>UG_KII_RADIO_PACIS_SM_27AUG_TRN</t>
  </si>
  <si>
    <t>TRN [15:14]-[15:41]</t>
  </si>
  <si>
    <t>TRN header (Ghana lead's note, 19 Sep)</t>
  </si>
  <si>
    <t>Paraphrased: the transcript header records that men were present in the room as non-participants at this women-only FGD, the only women-only FGD in the Ghana study.</t>
  </si>
  <si>
    <t>The actual course or the multi-course is that we go to the community to talk to the farmers first... I wish O2 should be there. But now, we need a fuel, we need a driver, then you need a fuel, and then you need two staff. The radio Savannah staff, and then our staff. Then a recorder.</t>
  </si>
  <si>
    <t>TRN paragraph 3</t>
  </si>
  <si>
    <t>So my name is Gaetano Apamako i work as the station manager. At this program level i have been the station coordinating officer for all official information relating to this partnership. At the level of the agreement signing at the level of also the evaluation level at some point we have had the evaluation with farm radio. So that has been my role in this partnership with farm radio international.</t>
  </si>
  <si>
    <t>JM</t>
  </si>
  <si>
    <t>But now, we need a fuel, we need a driver, then you need a fuel, and then you need two staff.</t>
  </si>
  <si>
    <t>Split from the FUNC-CONTENT span at reconciliation: recurring field cost, not COST-SETUP</t>
  </si>
  <si>
    <t>TRN [15:51]-[17:17]</t>
  </si>
  <si>
    <t>TRN paragraph 7</t>
  </si>
  <si>
    <t>So three, no, three staff, that's the driver... So they are per diem for two days... Then fuel from here to Zabu Zomu... And we are giving the driver $280... And the officers $350... The fuel to Zabu Zomu, in and out, and going to the community. $2,500.</t>
  </si>
  <si>
    <t>Okay our frequency reach is 200 kilometers squared. And then we broadcast this program on radio pacis 90.9 i mean radio pacis has other frequencies radio but specifically for this program is running on the 90.9 fm. And the program has been named otita agrikica ni. Is more of the farmers program. And our hub I think has been consisting of the district technical team mainly the agriculture officer and our radio team. The program producer and program presenter. These have really been the team members instrumental in this hub.</t>
  </si>
  <si>
    <t>TRN paragraph 11</t>
  </si>
  <si>
    <t>TRN [17:23]-[19:08]</t>
  </si>
  <si>
    <t>Okay the hub coordinator who is the district agriculture officer. Of course there are times when he will get back for some communication on this program especially if maybe there may be some issues which need to be addressed. I will bring that to my attention for example an issue of a female radio person who should be like part of running the program at some point of course one lady who was running the news. Her contract was not renewed so the hub was like the coordinator was like so it's not this lady who is not there who is going to be there on the side of the station so that we have always a female voice that appears on this show so once in a while he gets back on some communication issue.</t>
  </si>
  <si>
    <t>So that will be like 4,030 gallons to this... 22 times... In a year... So we have like 88,660 gallons to this per year. Yes. That's our estimate.</t>
  </si>
  <si>
    <t>TRN paragraph 15</t>
  </si>
  <si>
    <t>I think since inception till date. I would say first of all this hub has been consistent at the level of the training like if we have a particular program to run in terms of the theme and the topic. The hub has been going for these training sessions. Actually the district technical person and the radio team they have been going for this training so that they will be able to unpack you know the topics the themes for this farmers program but also here at the radio station after every show is done the live show after every talk show they sit together you have the hub coordinator the program producer and program presenter they sit for like 15 minutes to evaluate the show like how do we run today's show what were the what were the good parts in this show what were the gaps in the show. So they get to evaluate and then also way forward for the next program so that gaps which have been there in the show do not appear the next time they are here on the radio so i think every friday they meet after the show they evaluate. But also once in a while there is a coordination kind of coordination m</t>
  </si>
  <si>
    <t>TRN paragraph 23</t>
  </si>
  <si>
    <t>Yes it is fully active so we run it live show is on friday 4:15 to 5:00 the repeat is on wednesday also same time 4 :15 to 5 pm.</t>
  </si>
  <si>
    <t>TRN [19:18]-[19:22]</t>
  </si>
  <si>
    <t>TRN paragraph 27</t>
  </si>
  <si>
    <t>Then the equipment, like I said. Yeah. In the quarters.</t>
  </si>
  <si>
    <t>Yeah they give us. Now what they fund is what they call retainer fee. So every three months it is quarterly…it is 2.7 million. It is every three months so it's more of allowing the program presenter to run in the field they are paying for the field trips. Also the program producer has some data so that the internet online is also running but also to buy for us some fuel to run the program. Because the program needs fuel, needs electricity to run. So those are really like more critical core areas fuel running to the field and for the producer to keep updating. So it is what they have called a retainer fee of 2.7 and it is that 2.7 is for the three months not every month.</t>
  </si>
  <si>
    <t>TRN [19:31]-[19:45]</t>
  </si>
  <si>
    <t>TRN paragraph 31</t>
  </si>
  <si>
    <t>So if you record... Text message... Text message. Then when we come, then we can now answer it. And it's sent to them.</t>
  </si>
  <si>
    <t>No. Because really time on the show. This time the program runs, they used to pay of course the first time we started with. We started this program green leaf. It was paid, actually every show was 1.7 million. So just imagine you're running it for from four weeks so 1.7 times four will not be equivalent to the 2.7. So eventually of course they kept saying we are we're only having a startup kit kind of for you. So that with time this program is sustainable you should be able to run this program as a station and you should be able to get other partners as a station to sustain this program but you know for us to start with we're having this kind of payment but later you will run this for yourself and i think we are almost reaching there but still with some retainer fee there from farm radio.</t>
  </si>
  <si>
    <t>TRN [19:59]-[20:30]</t>
  </si>
  <si>
    <t>TRN paragraph 39</t>
  </si>
  <si>
    <t>The session, sometimes it's not only one person. So it could be 500 in one session because sometimes I go together with the weatherman... Then I will take the crops... Or the weatherman will tell what will happen in the week. The laptop person will join... It means that in the setting, sometimes it can be three.</t>
  </si>
  <si>
    <t>Rows 2 and 3 are examples and should be deleted before use. Layer is AUD, TRN or SUM. Pointer is the transcript line, audio timestamp or summary section. Query is anything needing resolution before the passage is used. Quantified applies to ECO-COMPARATOR only: Yes where the passage carries cost, coverage or efficiency information, No where it is a stated comparison without figures, n.a. for every other code. Only Yes passages enter ROI Lens 2 arithmetic.</t>
  </si>
  <si>
    <t>So let us say the field work. Farmer radio helps us with the retainer fee. Yeah so that money 2.7 million for three months helps us to have the program presenter run to the field get a hired transport and goes to the field but then the production bit. So certain costs are really by the station now as you can see clearly see but also the station has been able to get other partners. Before we started i alluded to there's a partner called Syova seeds who is actually paying some monthly fee of 3.3 million. And currently they're running it for 3 months to a tune of about 10 million so we have had the other partners on board in this show and those costs try to cover like the cost of production like if the if the presenter comes back from the field has to produce the audio is recorded usually we charge cost of production at 300 000 per episode if we have a partnership with somebody with a client per episode is 300 000 so some of the costs coming from our partners on board like Syova seeds are really offsetting. Even of course we have to pay the presenter running this show. Our presenter and</t>
  </si>
  <si>
    <t>TRN paragraph 171</t>
  </si>
  <si>
    <t>No. For now those are the only 2. Those are really the major ones. The ones currently running and there's one for three months syova seeds there's one for four months dk seed.</t>
  </si>
  <si>
    <t>TRN paragraph 51</t>
  </si>
  <si>
    <t>Our feeding is basically 10 000 shillings if somebody is out going to the field to get water. Transport they get a boda boda and our transport is like 70 000 for somebody to get a boda boda to run around so they have been quoting around 70 000. No infact 70 000 is everything plus the feeding so they have 60 000 to run around on a boda 10 000 for you to grab some water or maybe i don't know what in the field there.</t>
  </si>
  <si>
    <t>TRN [00:27]</t>
  </si>
  <si>
    <t>The hub here being like Radio Savannah, Mofa, all the actors all together.</t>
  </si>
  <si>
    <t>TRN [09:30]</t>
  </si>
  <si>
    <t>TRN paragraph 59</t>
  </si>
  <si>
    <t>Our presenter is paid i think about 700 000 and the producer now i think should be about 900000.</t>
  </si>
  <si>
    <t>So, yeah, now we also want to talk a little bit about money.</t>
  </si>
  <si>
    <t>TRN paragraph 63</t>
  </si>
  <si>
    <t>That's for one hour in fact it is even more than that. When we had with the farm we had to negotiate our one hour is 2 million so if you add VAT to it so you get 18 percent of 2 million so it goes to about 2.3 there. That's for one hour show so if we were to charge if what asked farm radio to give us money for this show completely as a client that will be the two million exactly.</t>
  </si>
  <si>
    <t>TRN [10:44]</t>
  </si>
  <si>
    <t>They will give fuel.</t>
  </si>
  <si>
    <t>TRN paragraph 67</t>
  </si>
  <si>
    <t>TRN [14:57]</t>
  </si>
  <si>
    <t>Scripting alone we use our course around it is 150 000 for somebody to script translation is also 150 000. If somebody brings for us say one page script it can take somebody about 30 minutes so it depends on the speed of the translator. Also depends on the quantity given so 150 for translation 150 for scripting. And then editing is usually about a hundred thousand. But that whole pricing we usually quote it on as a production cost. Which starts with a script it goes to translation it goes to editing so instead of somebody paying 400 person will end up paying 300 000 the whole production cost.</t>
  </si>
  <si>
    <t>TRN paragraph 71</t>
  </si>
  <si>
    <t>Thinking around advertisements or sponsorships, what would local businesses or maybe sponsors,</t>
  </si>
  <si>
    <t>Internet we we usually the producer 20 000. That's really like for a week i think two weeks for two weeks because if he get 20 000 he activates a Lyca of like 20 gb or something like that to run.</t>
  </si>
  <si>
    <t>TRN paragraph 79</t>
  </si>
  <si>
    <t>TRN [16:00]</t>
  </si>
  <si>
    <t>No we don't do that one. So farM radio i think tries to rescue us on that one i told you every like if if there's something new on board but from farm radio side. There's usually a call to train and the team goes. Every other program like we run on the radio so all that like is is planned for in a training by farm radio. They can go for a week and they program themselves for the whole time of running that show say for six months. So they're able to identify what to run every week and also on weekly basis the producer is able to generate that script and share with farm radio that this is our schedule and context for this week if there's any additional feedback but they will have decided on that in this training. A roadmap for this whole you know this whole period in the year what the producer only just does is to keep updating the script</t>
  </si>
  <si>
    <t>Even if it's not farming season, we do dry season farming.</t>
  </si>
  <si>
    <t>TRN paragraph 83</t>
  </si>
  <si>
    <t>So the recurring hub costs. There's a cost called we okay farm radio had told us really they don't take care of that if the hub coordinator and an extension worker is on board for this friday we usually give them some kind of boda boda 20 000 shillings. So that i mean if they are coming they have some fuel in the in the bike that can also take them back. Farm radio of course did not agree with it when i shared that with the previous guy pascal and i told him man these guys they are coming and they said they usually go to the field, even get commodity prices especially the district commercial officer there. To get commodity prices from the markets and the district agriculture officer is also coming from maybe a field or from wherever so farm radio did not agree with giving any cost to the guests or host. But internally we just said if we don't give some fuel for these guys they will not come. So we give them 20 000 actually even that 20 000 the district agriculture officer was like man this 20 000 is too small the commercial officer is complaining he's going to the markets so his food</t>
  </si>
  <si>
    <t>TRN [16:36]</t>
  </si>
  <si>
    <t>TRN paragraph 91</t>
  </si>
  <si>
    <t>But what would you need as an organization, maybe, to actively pursue sponsorship for</t>
  </si>
  <si>
    <t>With support from family radio. No. I think we have not bought any yeah so as if they had even talked of is it maybe a support or something like that. We got a recorder. That was i think two years ago. We got a zoom recorder from farm radio. And it was delivered here by pascal. Pascal and the colleague here physically yeah. That was the only one and he had talked of over even a laptop or something like that but we've never seen the laptop.</t>
  </si>
  <si>
    <t>TRN paragraph 107</t>
  </si>
  <si>
    <t>Let's talk about the repeat time. The repeat time is really like a station contribution. It's really like what farm radio knows that they are like paying something little for is really the friday and from the very beginning they are they always ask that so what is the station contribution and one indication was we need a repeat time. So that farmers who missed the show have an opportunity to get it in another time. So we gave the repeat really like as our own contribution. We don't like get any cost there but of course also the time spent by the presenter and by the producer. The producer as i told you is on the scripting side. So scripting for the friday show and sharing it with farm radio international for approval so i think that extra time. I'll look at but of course that extra time really fits within the the schedule of the schedule of the station. Everyone has like about seven,eight to nine hours every day to be doing activities here so also the time for the presenter he is running to the the field. He has a show to run here that means somebody else has to substitute him here a</t>
  </si>
  <si>
    <t>TRN [19:00]</t>
  </si>
  <si>
    <t>TRN paragraph 111</t>
  </si>
  <si>
    <t>My question is, yes, since the sponsorship ended, you have not been having funding, the</t>
  </si>
  <si>
    <t>Yeah of course we pay license to ucc. Farm radio really doesn't contribute anything to that. That's the only license we pay of course we run content online. I mean facebook or tiktok youtube those things you guys are asking about the website also so for website of course we pay for the the hosting.</t>
  </si>
  <si>
    <t>TRN paragraph 123</t>
  </si>
  <si>
    <t>TRN [19:11]</t>
  </si>
  <si>
    <t>So in a month we will run eight episodes but you can say four because the other four are repeats. They fully run for 45 minutes. 4 15 to 5 pm</t>
  </si>
  <si>
    <t>I want to see, as you are coming, are we expecting sponsorship very soon?</t>
  </si>
  <si>
    <t>TRN paragraph 131</t>
  </si>
  <si>
    <t>TRN [19:36]</t>
  </si>
  <si>
    <t>So when we started with farm radio. Which year do i tell you. Is IT 2014 because WE STARTED WITH FARM RADIO a long time. So 2014 since then i think they used to fully pay for air time. They’d fully pay for the year time until what you are talking about the last let me say the last two years when farm radio then started saying okay i think you need to sustain this program and we can only pay for something small and we call it retainer fee for the host to run in the field for you to get some little fuel for you to get some little data that amount has been there but also of course like when since we started in 2014 it doesn't mean that farm radio has been here like every year so they'll be here like four three years they go but this program has been on so if farm radio is not there the farmers program is there. With or without money the farmers program is there. So if the farm radio is not there now that means the station has to think about other options instead of the presenter running in the field now farmers come to the studio. So the radio offers airtime the farmers offer their tran</t>
  </si>
  <si>
    <t>So Farm Radio International in itself is also seeking opportunities to provide the sponsorship</t>
  </si>
  <si>
    <t>TRN [20:00]</t>
  </si>
  <si>
    <t>TRN paragraph 147</t>
  </si>
  <si>
    <t>So that in the future, when money runs out, maybe you are able to develop capacity or</t>
  </si>
  <si>
    <t>So electricity costs you have seen the solar system as we were passing through. Yeah yeah we have a hybrid kind of. We run a lot on solar but also with agreement with won rioko so it's more of like we're not paying wan reko but we're also generating electricity for an arco so our solar is on one record grid so we like to sell the solar to when record. When the record sells back to us so but i tell you in a month if you have to quantify in a month it could be about 10 million. This radio runs 24 7. Of course you have a generator in there. There are times when you don't have one record or the solar you have a generator in there. This thing is not so small because when you connect the electricity it's not only running this studio, we are running workstations, you are running offices, you're running the transmission site. The transmission site is about one kilometer away and there's a way we have run our system to the transmission site so it's a big one.</t>
  </si>
  <si>
    <t>TRN [20:05]</t>
  </si>
  <si>
    <t>TRN paragraph 151</t>
  </si>
  <si>
    <t>We need to do a survey on that but surely when the the program is on you can tell farmers are active through calls direct calls through the olisa polls there through sms so from the interaction bit you see the farmers are active and listening okay but now to talk about how many will need a survey</t>
  </si>
  <si>
    <t>something for Radio Savannah to be able to secure sponsorship from other sources to keep</t>
  </si>
  <si>
    <t>Item</t>
  </si>
  <si>
    <t>TRN paragraph 155</t>
  </si>
  <si>
    <t>Value</t>
  </si>
  <si>
    <t>Unit</t>
  </si>
  <si>
    <t>Yeah so the presenters usually have like about five minutes for the callers to call so i usually hear about 10 farmers calling in there</t>
  </si>
  <si>
    <t>Currency</t>
  </si>
  <si>
    <t>Reference year</t>
  </si>
  <si>
    <t>Period</t>
  </si>
  <si>
    <t>TRN paragraph 163</t>
  </si>
  <si>
    <t>Basis</t>
  </si>
  <si>
    <t>Funding source</t>
  </si>
  <si>
    <t>Now that one needed to be explained by the producer and the presenter but from what I heard them they would do and say.. The Uliza poll is announced. It is run in other shows so that other presenters from morning up to night encourage farmers to call that line so and from what i have seen have so the farmers voices are recorded and those voices are also run in the show so i think that's a little bit i know but i think the presenter producer have a bigger explanation on that one.</t>
  </si>
  <si>
    <t>Confidence</t>
  </si>
  <si>
    <t>Source layer</t>
  </si>
  <si>
    <t>TRN paragraph 167</t>
  </si>
  <si>
    <t>Verified</t>
  </si>
  <si>
    <t>Denominator note</t>
  </si>
  <si>
    <t>Not specifically but i can tell you that cost runs up to like four million every episode so if you have to charge the air time is like 2.3. So we pay the presenter, we pay the producer, we run the cost to the field, so salaries…use of the gadgets every episode is like 4 million.</t>
  </si>
  <si>
    <t>TRN paragraph 175</t>
  </si>
  <si>
    <t>. Of course west nile is about four million people. So our listenership assumption could be about 2.7 million there.</t>
  </si>
  <si>
    <t>Resource-person fee per session</t>
  </si>
  <si>
    <t>GHS</t>
  </si>
  <si>
    <t>TRN paragraph 189</t>
  </si>
  <si>
    <t>Per session</t>
  </si>
  <si>
    <t>Government</t>
  </si>
  <si>
    <t>Yes so and partners like that we usually fit them in those programs that means if a partner now is on board that partner literally takes over you know like the design of the content for green leaf it is the format that was new to us somehow in terms of how the program should be run what segments and so on. For us in the past we used to basically just talk about agriculture specific practice and particular topic. So the the partner like takes charge of the design and the content in that show in which sense pays for that platform. So farm radio came when we had this program and if they also leave the program will still be there but also now i think we have also liked the format they brought on board. I think that format will try to continue with it unless we get stuck. But hopefully i think we should be able to.</t>
  </si>
  <si>
    <t>Measured</t>
  </si>
  <si>
    <t>SUM Section 3, B1</t>
  </si>
  <si>
    <t>No, transcript only</t>
  </si>
  <si>
    <t>TRN paragraph 193</t>
  </si>
  <si>
    <t>Yeah we'll adjust we'll ask farmers to reach the radio. The platform is there and by the way farmers are also interested to be to be like on the radio. So the times when we have farmers asked to come they willingly really come and share their own experiences so some things will be adjusted surely like this field work or now money is not there for it but the farmers to whom we go will be requested to be on the platform at the radio.</t>
  </si>
  <si>
    <t>Airtime, live broadcast, per hour</t>
  </si>
  <si>
    <t>TRN paragraph 197</t>
  </si>
  <si>
    <t>Per hour</t>
  </si>
  <si>
    <t>Station-own</t>
  </si>
  <si>
    <t>Estimate</t>
  </si>
  <si>
    <t>I think a bit of training is important for our sales team. Training for our sales team will be beneficial. How to get partners on board for program like this. Contacts also important because from contacts we can be able to explore with those potential clients. So if farm radio also has contacts like that we'll appreciate it if we can take on them. To bring them on board. But training for sales teams will be a very good one.</t>
  </si>
  <si>
    <t>SUM Section 3, B3</t>
  </si>
  <si>
    <t>Range 1,200 to 1,300 stated by the EO. The producer quoted 1,500. Do not average; reconcile.</t>
  </si>
  <si>
    <t>TRN paragraph 209</t>
  </si>
  <si>
    <t>Farmers per broadcast</t>
  </si>
  <si>
    <t>So we have like four four radios every month we try to raise up to a local revenue of 120 million h that's like all the four radios. I mean for four radios that's a little because now you have you have to run expenses the staff alone we have staff up to 140 people. And these are all full salary. Full time so and you have no excuse so our sales team really struggle up to 120 in a month.</t>
  </si>
  <si>
    <t>farmers</t>
  </si>
  <si>
    <t>TRN paragraph 221</t>
  </si>
  <si>
    <t>Per episode</t>
  </si>
  <si>
    <t>For now we don't break even but what helps us is we try to get some donations also you know like this radio is owned by the catholic church so there are some small donations from the church. So the church helps us a bit to bridge the gap to bridge. Our local revenue can all take us up to 80 percent now that 20 percent is where the help from the church tries to bridge</t>
  </si>
  <si>
    <t>Ghana Field Notes, 10 Aug</t>
  </si>
  <si>
    <t>Basis of the estimate not stated. Station coverage area, not a measured audience.</t>
  </si>
  <si>
    <t>TRN paragraph 229</t>
  </si>
  <si>
    <t>Yes technical experts. You'll struggle to look for these guys because now also they have it in their calendar every friday are at Pacis so if farm radio is not there that means every friday is not there. So pacis has to as to as to see how to look for them but as i told you for the other part i mean like if somebody's paying i think that that one may not be at risk because the guy knows the program is there if farm radio is not there the radio is sustaining the program they can be able to pay to continue to sustain that program at the client level that risk is not there our risk was only if farm radio is not there then that means they have may be a little bit of a challenge also capacity building will go down like if i told you farm radio has been getting the team members on board to train them. Because capacity building involves costs even if we do it here at the station but you have to feed them you have to feed the guys knows for the days they are here for the training you have to get also data if it involves having internet for the training so some little bit of cost can be there</t>
  </si>
  <si>
    <t>UG_KII_BBS_Radio_SM_25AUG_TRN</t>
  </si>
  <si>
    <t>I'm Margaret Barungi, manager of Bunyoro Broadcasting Services.</t>
  </si>
  <si>
    <t>My role is simply monitoring, to see what is going on in the field, on air, because I have to approve a facilitation for the workers going in the field.</t>
  </si>
  <si>
    <t>TRN paragraph 36</t>
  </si>
  <si>
    <t>They are different. They are different. Hub coordinator is a separate person. It's a different person.</t>
  </si>
  <si>
    <t>TRN paragraph 40</t>
  </si>
  <si>
    <t>It is hard to compare with other hubs because I don't know their performance. But as BBS we are in touch with the hub coordinator and the team. They are doing their work because the hub coordinator is the one who connects us with the technical people from the district. He's in charge. According to the topic that have been the script. The script. It is the hub coordinator who is the bridge to us… between us and the technical people. So, his work is very good.</t>
  </si>
  <si>
    <t>TRN paragraph 50</t>
  </si>
  <si>
    <t>It is. It is currently active.</t>
  </si>
  <si>
    <t>TRN paragraph 54</t>
  </si>
  <si>
    <t>Not fully funded.</t>
  </si>
  <si>
    <t>TRN paragraph 72</t>
  </si>
  <si>
    <t>Okay, an estimate of 8 million.</t>
  </si>
  <si>
    <t>TRN paragraph 76</t>
  </si>
  <si>
    <t>Now it's 2.4. You see?</t>
  </si>
  <si>
    <t>TRN paragraph 84</t>
  </si>
  <si>
    <t>Hub meetings? They are not frequent.</t>
  </si>
  <si>
    <t>TRN paragraph 88</t>
  </si>
  <si>
    <t>It has. It has reduced. It has reduced.</t>
  </si>
  <si>
    <t>TRN paragraph 94</t>
  </si>
  <si>
    <t>In one program? Because we normally have two to three technical people whom we facilitate between 30,000 to 50,000 Uganda shillings, depending on where he's coming from. Then we have to facilitate his producers. So in the field to get market news…what wWe normally give them is between 25,000 to 30,000 Uganda shillings. In our budgeting we even placed fuel for the generator. We normally put in like 50,000 Uganda Shillings.</t>
  </si>
  <si>
    <t>TRN paragraph 100</t>
  </si>
  <si>
    <t>300,000 Uganda Shillings to produce and host one episode.</t>
  </si>
  <si>
    <t>TRN paragraph 132</t>
  </si>
  <si>
    <t>It's the station at the moment.</t>
  </si>
  <si>
    <t>TRN paragraph 117</t>
  </si>
  <si>
    <t>A single show... A rough estimate, it could go to around 500,000 Uganda Shillings.</t>
  </si>
  <si>
    <t>TRN paragraph 122</t>
  </si>
  <si>
    <t>Airtime and data. Around 10,000 to 20,000 Uganda Shillings. It is not too much.</t>
  </si>
  <si>
    <t>TRN paragraph 145</t>
  </si>
  <si>
    <t>ULIZA is funded by Farm Radio or the donor, I don't know.</t>
  </si>
  <si>
    <t>TRN paragraph 166</t>
  </si>
  <si>
    <t>We have the one for the field. The laptop. It was donated to us by Farm Radio. It was donated by Farm Radio. The laptop.</t>
  </si>
  <si>
    <t>TRN paragraph 185</t>
  </si>
  <si>
    <t>750,000 Uganda Shillings.</t>
  </si>
  <si>
    <t>TRN paragraph 198</t>
  </si>
  <si>
    <t>We do, we pay. 15 million Uganda Shillings.</t>
  </si>
  <si>
    <t>TRN paragraph 202</t>
  </si>
  <si>
    <t>The trading license. It is 480,000 Uganda Shillings per annum.</t>
  </si>
  <si>
    <t>TRN paragraph 214</t>
  </si>
  <si>
    <t>An average of between 600,000 to 2 million Uganda Shillings depending on how you have collected.</t>
  </si>
  <si>
    <t>TRN paragraph 227</t>
  </si>
  <si>
    <t>That is once per week. Once per week. And the repeat. Those are two episodes per week. Times four, that's eight episodes and each episode is one hour.</t>
  </si>
  <si>
    <t>TRN paragraph 248</t>
  </si>
  <si>
    <t>The last time we got our data from IPSOS. We were reaching 10 million plus.</t>
  </si>
  <si>
    <t>TRN paragraph 258</t>
  </si>
  <si>
    <t>They did not clarify those.</t>
  </si>
  <si>
    <t>TRN paragraph 266</t>
  </si>
  <si>
    <t>Yes… they they normally tell us, women, men, the youth. They give us that data.</t>
  </si>
  <si>
    <t>No.</t>
  </si>
  <si>
    <t>TRN paragraph 281</t>
  </si>
  <si>
    <t>This Green Leaf Magazine as a program, in fact, I can say, its programming is very good. We have even borrowed a leaf to use in other programs.</t>
  </si>
  <si>
    <t>TRN paragraph 289</t>
  </si>
  <si>
    <t>The hyping of the program, the content, the programming itself I think it beats and even the timing it is on a peak time because the one we have it is during daytime</t>
  </si>
  <si>
    <t>TRN paragraph 357</t>
  </si>
  <si>
    <t>On a monthly basis it is between 25 to 30 million Uganda shillings</t>
  </si>
  <si>
    <t>TRN paragraph 361</t>
  </si>
  <si>
    <t>Around 15 million.</t>
  </si>
  <si>
    <t>TRN paragraph 326</t>
  </si>
  <si>
    <t>In some form, we can continue if the technical people can come unpaid because we can manage the market news. some few farmers you know who are not very far…Yes we can manage, provided the technical team… if they can collaborate and they come unpaid.</t>
  </si>
  <si>
    <t>TRN paragraph 330</t>
  </si>
  <si>
    <t>The technical part of it because there are people who are stubborn. They give you excuses. “We don't have transport. We don't have fuel. You go to someone and they are not willing because of not being paid. So, you find you get a challenge.</t>
  </si>
  <si>
    <t>TRN paragraph 334</t>
  </si>
  <si>
    <t>We are trying but the challenge is because that program is a weekly one. So you find clients who want a daily daily program. So the ones we get are on God’s mercy. We plead and they are convinced. So, many would want (to sponsor) but because it is a weekly</t>
  </si>
  <si>
    <t>TRN paragraph 379</t>
  </si>
  <si>
    <t>Masindi Local Government, production department. They are the ones who come as technical people in the program</t>
  </si>
  <si>
    <t>TRN paragraph 383</t>
  </si>
  <si>
    <t>We have only three. We have an organization called Hongera Sana. I don't know the abbreviation. The marketeer is in the know. They are sponsoring farm radio. They give us some</t>
  </si>
  <si>
    <t>TRN paragraph 386</t>
  </si>
  <si>
    <t>Then we have Naseco. It is also seasonal. This one is maize when it is the season for planting. That's when they come and when it is off season, they relax.</t>
  </si>
  <si>
    <t>TRN paragraph 388</t>
  </si>
  <si>
    <t>Maybe the ones who are consistent they sell rice. They are called AB Aligwaawa. Those ones have been consistent much as they are giving us small money but for them they are consistent.</t>
  </si>
  <si>
    <t>TRN paragraph 392</t>
  </si>
  <si>
    <t>At the moment they are not. We had MADIFA (Masindi District Farmers Association). It's like three months but when they expired, they did not renew. Under MADIFA, we had another organization. It was about the weather. I don't remember the name. They also supported us for four months. We had “My Weather My Focus.” segment.</t>
  </si>
  <si>
    <t>TRN paragraph 409</t>
  </si>
  <si>
    <t>No, they did not make like a contract. They just give us money. It was on mutual understanding.</t>
  </si>
  <si>
    <t>TRN paragraph 413</t>
  </si>
  <si>
    <t>Maybe the government may drop off because, for the NGOs, when the interest is still on</t>
  </si>
  <si>
    <t>TRN paragraph 418</t>
  </si>
  <si>
    <t>Of course information. That is the most important thing - the time of planting; what we can plant, the time of feeding their animals; like the program we had at night advising the piggery farmers. So, they get the information on how to feed them.</t>
  </si>
  <si>
    <t>TRN paragraph 422</t>
  </si>
  <si>
    <t>Now, like the script, it is funded by FRI. We follow that script. So, the information we offer to them. It is donor funded. Even the technical people, as I told you, the contract is between farmradio and BBS. Maybe if it wasn't, they wouldn't be here. So, they come and give information to farmers.</t>
  </si>
  <si>
    <t>TRN paragraph 478</t>
  </si>
  <si>
    <t>Then, when they train these people and they don't once in a while take someone like the Programs Director or the manager, you find there is a gap. There's a gap because there are things that for us maybe, if they are too technical, we don't know them also. At least in their training engagement they should be involving the management so that we can</t>
  </si>
  <si>
    <t>TRN paragraph 485</t>
  </si>
  <si>
    <t>The camera because when these people go in the field, at times they are required</t>
  </si>
  <si>
    <t>UG_KII_RADIO_ATEKER_SM_31AUG_TRN</t>
  </si>
  <si>
    <t>My name is James Tweny. I serve as the station manager at Ateker Moroto FM. Ateker, is one of the radio stations in Kararmoja and our location is along The Circular Road. This is a privately owned radio station. and basically my role as a station manager is to oversee the operation of the radio. All the programs, not only maybe the one of Farm Radio. The programs that we run from morning till late from Monday through the weekend. So basically my role is overseeing the operation. Like at Ateker, we have a contact person who is also the host of this program he is called Kodet Innocent. He is the one who has been very much in touch with the Farm Radio team in Kampala. Much as most of his communications are through email, I am also copied in, but now Kodet takes the lead because he is the one who normally does the implementation. He does not do it alone. He is also in touch with the hub focal person who is at the district and other technocrats who do come at the show.</t>
  </si>
  <si>
    <t>Ateker, is one of the radio stations in Kararmoja and our location is along The Circular Road. This is a privately owned radio station. and basically my role as a station manager is to oversee the operation of the radio. All the programs, not only maybe the one of Farm Radio. The programs that we run from morning till late from Monday through the weekend. So basically my role is overseeing the operation. Like at Ateker, we have a contact person who is also the host of this program he is called Kodet Innocent. He is the one who has been very much in touch with the Farm Radio team in Kampala. Much as most of his communications are through email, I am also copied in, but now Kodet takes the lead because he is the one who normally does the implementation. He does not do it alone. He is also in touch with the hub focal person who is at the district and other technocrats who do come at the show.</t>
  </si>
  <si>
    <t>TRN paragraph 10</t>
  </si>
  <si>
    <t>Here in Karamoja, we have been having a number of NGOs operating. But we also have foreign bodies, especially from America. A number of NGOs have either closed their operations or scaled down their operations.</t>
  </si>
  <si>
    <t>You have to be frequent, reliable on air… not going off so which means in terms of fuel for the generator, it has to be there. The electricity token, it has to be there. So, it is not easy managing a radio station in Karamoja. I have the experience from other regions how this people are supposed to embrace…even local businesses would have been another source of funding for the institution. We have also tried our best. If you tell somebody, please give me a hundred thousand they are not willing to give. The local business, they are not even willing to advertise. So the best you can do is to go to them as a way of trying to entice them. You lower the price because you want their name also to be there. Some of them have tried to maintain their visibility on air but some have taken long and we are still trying our best. We try to educate them on the use of the radio…what the radio can do… A few who have joined us are not actually regretting much as their capacity to maintain their adverts running on radio for some time is challenging. And for us as a way of motivating them, if som</t>
  </si>
  <si>
    <t>TRN paragraph 32</t>
  </si>
  <si>
    <t>farming we have it on Thursday. This is how we had organized it . We expect a radio presenter to come up with a topic. Like on Monday, we have things to do with human rights from 6:30 to 7:00. A presenter comes with a topic and engages the audience within that time. They are 30 minutes. Then on Tuesday based on the situation that we are in, human rights related, because we are in Karamoja, peace and reconciliation because you know people have really injured each other. In Karamoja here people have been fighting. They have been killing but there's that healing process which is needed in Karamoja. So, as a radio like Ateker also we needed to be relevant by coming up with programs that would try to address that kind of thing. Community issues. Human rights on Monday, peace and reconciliation on Tuesday. Still the same time. On wednesday we have health is our wealth…that is the health program. We dedicate Thursday. Then we have the Farmer’s program on Thursday. Then we have women and development on a Friday from 6:30 to 7:00. The farmers program we just expect a presenter on radio to</t>
  </si>
  <si>
    <t>TRN paragraph 44</t>
  </si>
  <si>
    <t>so when they made that choice that let our information be through the radio, I gave them a tick because apart from choosing the radio as the channel of communication that they should use, even the information that was supposed to be disseminated was well package by use of this people at the hub…which means the information which they were going to give the people who sit at the hub…the people at the district, they know very well.</t>
  </si>
  <si>
    <t>So, in the same way now when you come here and you relay information on farming you are allowed to discuss and people ask you direct questions from the village…these warriors they have phones and they listen to the radio and sometimes the kind of question…their concern…it can even surprise you . You may think that these warriors are backward…they don't think but you start a radio program and you listen to their feedback. So Farm Radio coming together has really helped us to package the information in a professional manner. So I want to appreciate farm radio and maybe IKEA foundation. Even the ministry of agriculture for the support. Otherwise, we would not have gone far. I know as you go out to maybe interact with these farmers they’ll be able to share their experience. How the program has really benefited them because for us… now for me I look at it from this perspective, if I can have a well packaged</t>
  </si>
  <si>
    <t>TRN paragraph 57</t>
  </si>
  <si>
    <t>even call complaining, where is our program tonight. so it means there are people who have benefitted from it .</t>
  </si>
  <si>
    <t>TRN paragraph 61</t>
  </si>
  <si>
    <t>TRN paragraph 65</t>
  </si>
  <si>
    <t>the people who sit at the hub because the way it is started, those technical people are really facilitated. Each time they come on radio they know, they’re going to get some</t>
  </si>
  <si>
    <t>TRN paragraph 73</t>
  </si>
  <si>
    <t>Currently it has reduced to about 2,480,000</t>
  </si>
  <si>
    <t>Rows 2 to 4 are worked examples taken from the record and should be deleted before use. A COST or REACH passage without these fields is incomplete and does not enter the ROI workbook. Every figure is verified against audio or the written record before use: the summary forms warn that the transcription engine renders Ghana cedis as dollars and garbles some numbers.</t>
  </si>
  <si>
    <t>TRN paragraph 99</t>
  </si>
  <si>
    <t>70,000 Uganda shillings.</t>
  </si>
  <si>
    <t>Then the presenter going to the field…everything, we can put at 125,000 Uganda shillings</t>
  </si>
  <si>
    <t>TRN paragraph 101</t>
  </si>
  <si>
    <t>Then this technical people because these people have been used to figures like a 100,000 Uganda shillings for each time they appear and if they are two, that is already 200,000. So if you total the 70,000Uganda shillings, the 50,000 Uganda shillings, the 125,000 Uganda shillings…That one gives you like 450000. This one excludes any assistance or support to the radio .</t>
  </si>
  <si>
    <t>TRN paragraph 109</t>
  </si>
  <si>
    <t>We host a radio talk show at 1.2 million Uganda shillings. A fairer figure would have been something like 1.1 if you’re to remove that 1. So that gives you maybe like 1.7 million.</t>
  </si>
  <si>
    <t>TRN paragraph 125</t>
  </si>
  <si>
    <t>I do not know. We are hosting the internet service provider. There is an MOU between Ateker and Roke Telecom. I do not know whether it is a swap business. That much is with my boss. (This figure was noted later as 75,000 Uganda shillings per month).</t>
  </si>
  <si>
    <t>TRN paragraph 146</t>
  </si>
  <si>
    <t>farm radio gave us a recorder but sometimes in the process you can not say this one is strictly for farm radio. We also have other recorders. I don't know how much the other recorders cost. But the other recorder that we bought we got it at around 300,000 Uganda shillings. The computer we use is estimated at 3million. The microphones and others we can put that at about 50,0000, the generator over 30 million Uganda shillings.</t>
  </si>
  <si>
    <t>TRN paragraph 154</t>
  </si>
  <si>
    <t>The cost of airing previously they used to give the radio 700000 per episode. That one we were told since the money…has reduced. The radio accepted that offer of ensuring that the programs are not interrupted, it continues. So, the cost of airing has reduced, or it is no longer there. What other thing?</t>
  </si>
  <si>
    <t>TRN paragraph 170</t>
  </si>
  <si>
    <t>To the closest, about 40000 to 50,000 Uganda shillings. But to go to the farthest farmer is estimated at 125,000.</t>
  </si>
  <si>
    <t>TRN paragraph 178</t>
  </si>
  <si>
    <t>As Ateker, we have not officially commissioned any organisation to do any independent survey. I also remember, I think FRI also did a survey. I do not know which people they engaged to come up with the figures. The potential reach of Ateker is over 2 million.</t>
  </si>
  <si>
    <t>TRN paragraph 182</t>
  </si>
  <si>
    <t>Almost the entire karamoja and the neighbouring districts. Because we have people who call from Kapchorwa, Agago in Acholi, Katakwi, Amuria. Those other districts. The whole of karamoja, the only challenge sometimes we have is because of the mountain. You find that the signal is obstructed. It doesn’t affect only Ateker. Most of this radio stations do not cover Amudat well. But in these other areas we don’t have any problems.</t>
  </si>
  <si>
    <t>TRN paragraph 186</t>
  </si>
  <si>
    <t>Personally, as I told you. It has something that has been appreciated by the listeners. But I think as a radio station we also need to do marketing... which we have not done very well. So far I think we received only one person. I’ve forgotten the name of that organization. They sponsored the “Digging Deep” segment just for one month. And you know people come with their expectations. At first they said we are going to commit ourselves for more than one month. But after one month, they didn’t show their commitment. But they had technical expertise. And later on since we wanted their expertise…we had a segment already given. I think Kodet the host of the program would reach out to one person from that organization to come and help digest some of the information for the local people. So the man would still come but not because they were sponsoring the program but because we needed technical support. So they ended up only paying us the 500,000 Uganda shillings for one month which we appreciated but I think they also had their target. They thought maybe by partnering with Ateker they’d ge</t>
  </si>
  <si>
    <t>TRN paragraph 194</t>
  </si>
  <si>
    <t>Yes. At the moment what we are relying on is the kind of feedback that you get from the community. You move out. I am not the host of the program but when somebody meets you on the streets and begins appreciating the program. There are people who listen to the radio but they will never call the radio. I have a potential farmer here Mzee Kidon. He was the first information officer here. Recently he surprised me. He is a keen listener of that program. He had come for a different program but that was the comment that he first started. That he doesn’t miss that program of farm radio Greenleaf magazine. That is already positive feedback.</t>
  </si>
  <si>
    <t>My expectation would be, as Ateker we may try to send out our reporters to the field but the frequency may reduce. I mean the one that would involve us going to the field but if a topic is to be discussed and we expect a technical person simply to come and discuss in the studio. Probably the slot will be there. The host of the show will be there. Depending on how the guest will appreciate their coming on radio. Are they willing to come free of charge? Then there would be nothing preventing us from airing this program on a weekly basis, with a repeat on Saturday but the emphasis is, if the reporter is to go out looking for potential fieldwork…that person needs transport. He needs to be facilitated. Even the person who is supposed to help him do the mobilization. Those people we always facilitate. People don’t want to do things for free. They need to be motivated.</t>
  </si>
  <si>
    <t>TRN paragraph 206</t>
  </si>
  <si>
    <t>Maybe we need to have a marketing person. Currently I am the one doing the marketing but sometimes you also get overwhelmed. Because if you move out and at the same time you’re the same person to receive people inside. You get overwhelmed. You need somebody or some people who can easily be proactive. Their capacity should be enhanced. They should be trained in marketing and they get equipped in writing proposals. That one is key. Not only to them but some of us including me have not been trained on writing proposals but at least when you have somebody who can be guiding you, you can come up with something. You could be having a good idea but how to put it in a professional way.</t>
  </si>
  <si>
    <t>TRN paragraph 213</t>
  </si>
  <si>
    <t>About 60 million.</t>
  </si>
  <si>
    <t>TRN paragraph 217</t>
  </si>
  <si>
    <t>It would go to over 100 million</t>
  </si>
  <si>
    <t>At the moment, it is having challenges. Because we have obligations to fulfill. When you operate UCC is on your neck, NSSF is on your neck, URA is always on your neck. So in order for you to remain afloat you’re forced to sacrifice the salaries of the staff because you want to fulfill the obligation that you have with URA. Or you have an outstanding NSSF that is demanded from you. And those are people who are always squeezing the propriators. When you decide to do that the person who is going to suffer is the radio presenter. And when the radio presenter is suffering. It is the program that is going to suffer. When the quality of the program has been affected. It is the ordinary person…because somebody who’s experiencing personal challenges from home will now come up and say I have this kind of challenge. So, as a manager you’re convinced that the person is telling you the truth. And cannot go to the extent of investigating because you know I’ve taken this month without paying this person. The person has not come for work because the person has landed on some Kyeyo. How do you expect</t>
  </si>
  <si>
    <t>TRN paragraph 225</t>
  </si>
  <si>
    <t>We pay about 7 million per year</t>
  </si>
  <si>
    <t>URA, you pay them with this EFRIS. You see the challenge with URA, once you generate an Efris - electronically generated invoices, they will assume that every month…URA will begin demanding that money at the end of the month. They will assume the client has already paid. And yet, there are clients, including government agencies who will take their time. They will take 6 months…4 months…sometimes a year, when they have not paid you. Can you imagine? And URA will now be on your case. Those are the challenges that we go through. Our clients are not paying in time. Somebody will book for a talkshow. You allow that person to go on. Anybody listening to the radio will think you are making money. We give them that grace period of one month. We always expect them to pay within 30 days but they do not respect it. Very few of our clients will pay within a week or two.</t>
  </si>
  <si>
    <t>TRN paragraph 233</t>
  </si>
  <si>
    <t>Apart from Mororo district local government, we do not have any other partners.</t>
  </si>
  <si>
    <t>TRN paragraph 249</t>
  </si>
  <si>
    <t>The partners that would be affected…Because we want to get the clear information to disseminate, who are these people who will sit in? Because in the past, FRI has been taking these people. They would be there for almost a week, planning. Now, in the absence of such kind of funding, where would the information be coming from, because they were the people who were generating this information. Without the funding, these people at the hub, will they be coming up with such kind of information? Secondly, when we had our engagement with the district officials…At some point, the district officials stopped coming on radio because they were not facilitated. That was our worry, but one of them said, perhaps there was an information gap. According to him, if there are people who can only come on radio to share information simply because they are paid, that was wrong because some of them have a lot of information but all they want is that opportunity to be on radio. There was an information gap. This means, he was willing to come even without being facilitated. They want the information to reach</t>
  </si>
  <si>
    <t>TRN paragraph 254</t>
  </si>
  <si>
    <t>Going out to the field, facilitation for the extension officers.</t>
  </si>
  <si>
    <t>TRN paragraph 268</t>
  </si>
  <si>
    <t>Then, the aspect of training in marketing is very important. It will not help only the Green Leaf Magazine. It will help the entire radio because from morning, we have programs, different segments that need to be marketed. I see that as an aspect which is really missing.</t>
  </si>
  <si>
    <t>Instrument code</t>
  </si>
  <si>
    <t>What it captures</t>
  </si>
  <si>
    <t>Summary form code</t>
  </si>
  <si>
    <t>Codebook code</t>
  </si>
  <si>
    <t>Status</t>
  </si>
  <si>
    <t>ROI-Cost-1</t>
  </si>
  <si>
    <t>Programme delivery costs (direct), residual</t>
  </si>
  <si>
    <t>not present</t>
  </si>
  <si>
    <t>Verified in instrument; redefined as residual per 24 Aug revision</t>
  </si>
  <si>
    <t>ROI-Cost-2</t>
  </si>
  <si>
    <t>Staffing: production and hosting</t>
  </si>
  <si>
    <t>B1, B2</t>
  </si>
  <si>
    <t>Verified in Hub KII v3, Module B</t>
  </si>
  <si>
    <t>ROI-Cost-3</t>
  </si>
  <si>
    <t>Studio or broadcast airtime, cash cost only</t>
  </si>
  <si>
    <t>B3</t>
  </si>
  <si>
    <t>ROI-Cost-4</t>
  </si>
  <si>
    <t>Content production: scripting, translation</t>
  </si>
  <si>
    <t>not yet used</t>
  </si>
  <si>
    <t>ROI-Cost-5</t>
  </si>
  <si>
    <t>Cost line 5</t>
  </si>
  <si>
    <t>Referenced in review notes; confirm label with Mrignaina</t>
  </si>
  <si>
    <t>ROI-Cost-InKind-1</t>
  </si>
  <si>
    <t>Donated portion of airtime</t>
  </si>
  <si>
    <t>(no code)</t>
  </si>
  <si>
    <t>Per diems and field travel</t>
  </si>
  <si>
    <t>B4, B5, B6, B7, B8</t>
  </si>
  <si>
    <t>Summary form codes have no instrument equivalent. Needs a decision</t>
  </si>
  <si>
    <t>ROI-Reach-1</t>
  </si>
  <si>
    <t>Farmers reached</t>
  </si>
  <si>
    <t>C4</t>
  </si>
  <si>
    <t>Instrument code verified in review notes</t>
  </si>
  <si>
    <t>ROI-Reach-2</t>
  </si>
  <si>
    <t>Passive listener measure</t>
  </si>
  <si>
    <t>Confirm exact label with Mrignaina</t>
  </si>
  <si>
    <t>ROI-Reach-3</t>
  </si>
  <si>
    <t>ROI-Reach-4</t>
  </si>
  <si>
    <t>Series start and end dates</t>
  </si>
  <si>
    <t>Blocked: Uliza series dates outstanding from FRI</t>
  </si>
  <si>
    <t>ROI-Reach-5</t>
  </si>
  <si>
    <t>Ghana reach proxy</t>
  </si>
  <si>
    <t>Named in the Business Model framework as the Ghana substitute for Uliza</t>
  </si>
  <si>
    <t>Sessions per year, slot, repeats</t>
  </si>
  <si>
    <t>C1, C2, C3</t>
  </si>
  <si>
    <t>Summary form codes have no instrument equivalent</t>
  </si>
  <si>
    <t>ROI-Bench-1</t>
  </si>
  <si>
    <t>Cost per farmer reached</t>
  </si>
  <si>
    <t>Reversed on 24 Aug: now asks whether the hub holds its own figure</t>
  </si>
  <si>
    <t>Field trip versus studio session cost contrast</t>
  </si>
  <si>
    <t>G1</t>
  </si>
  <si>
    <t>Summary form code, no instrument equivalent</t>
  </si>
  <si>
    <t>CTX-1</t>
  </si>
  <si>
    <t>Role and tenure</t>
  </si>
  <si>
    <t>Module A</t>
  </si>
  <si>
    <t>Verified in Hub KII v3, Module A</t>
  </si>
  <si>
    <t>CTX-2</t>
  </si>
  <si>
    <t>Dual-role flag</t>
  </si>
  <si>
    <t>CTX-3</t>
  </si>
  <si>
    <t>Respondent's own view of hub performance</t>
  </si>
  <si>
    <t>CTX-4</t>
  </si>
  <si>
    <t>Current operating status by element</t>
  </si>
  <si>
    <t>ROI-PSC-7</t>
  </si>
  <si>
    <t>Partner valuation</t>
  </si>
  <si>
    <t>Assigned to two different questions in the instrument; renumbering pending</t>
  </si>
  <si>
    <t>GLE-Data-1</t>
  </si>
  <si>
    <t>Data-type interest checklist</t>
  </si>
  <si>
    <t>Named in the Business Model framework, Module H</t>
  </si>
  <si>
    <t>Three instrument codes could not be verified against a current instrument copy in the shared drive and are marked for confirmation. Four summary-form codes have no instrument equivalent at all: the per diem and field travel lines B4 to B8, the output lines C1 to C3, and the cost-contrast line G1. These carry some of the best cost material in the Ghana dataset and were captured outside the instrument design.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</si>
</sst>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1.0"/>
      <color rgb="FF000000"/>
      <name val="Calibri"/>
      <scheme val="minor"/>
    </font>
    <font>
      <b/>
      <sz val="14.0"/>
      <color rgb="FF2E5A3E"/>
      <name val="Arial"/>
    </font>
    <font>
      <b/>
      <sz val="9.0"/>
      <color rgb="FFFFFFFF"/>
      <name val="Arial"/>
    </font>
    <font>
      <sz val="9.0"/>
      <color rgb="FF5A5A5A"/>
      <name val="Arial"/>
    </font>
    <font>
      <b/>
      <sz val="9.0"/>
      <color rgb="FF1A1A1A"/>
      <name val="Arial"/>
    </font>
    <font>
      <b/>
      <sz val="9.0"/>
      <color rgb="FF1A1A1A"/>
      <name val="Consolas"/>
    </font>
    <font>
      <sz val="9.0"/>
      <color rgb="FF1A1A1A"/>
      <name val="Arial"/>
    </font>
    <font>
      <i/>
      <sz val="9.0"/>
      <color rgb="FF5A5A5A"/>
      <name val="Arial"/>
    </font>
    <font>
      <b/>
      <sz val="10.0"/>
      <color rgb="FF2E5A3E"/>
      <name val="Arial"/>
    </font>
    <font>
      <sz val="11.0"/>
      <color rgb="FF000000"/>
      <name val="Calibri"/>
    </font>
    <font>
      <i/>
      <sz val="9.0"/>
      <color rgb="FF1A1A1A"/>
      <name val="Arial"/>
    </font>
    <font>
      <b/>
      <sz val="10.0"/>
      <color rgb="FF000000"/>
      <name val="Arial"/>
    </font>
    <font>
      <sz val="8.0"/>
      <color rgb="FF5A5A5A"/>
      <name val="Arial"/>
    </font>
    <font/>
    <font>
      <sz val="9.0"/>
      <color rgb="FF1A1A1A"/>
      <name val="Consolas"/>
    </font>
  </fonts>
  <fills count="5">
    <fill>
      <patternFill patternType="none"/>
    </fill>
    <fill>
      <patternFill patternType="lightGray"/>
    </fill>
    <fill>
      <patternFill patternType="solid">
        <fgColor rgb="FF2E5A3E"/>
        <bgColor rgb="FF2E5A3E"/>
      </patternFill>
    </fill>
    <fill>
      <patternFill patternType="solid">
        <fgColor rgb="FFFFFFCC"/>
        <bgColor rgb="FFFFFFCC"/>
      </patternFill>
    </fill>
    <fill>
      <patternFill patternType="solid">
        <fgColor rgb="FFFF9900"/>
        <bgColor rgb="FFFF9900"/>
      </patternFill>
    </fill>
  </fills>
  <borders count="7">
    <border/>
    <border>
      <left style="thin">
        <color rgb="FFC9CDD2"/>
      </left>
      <right style="thin">
        <color rgb="FFC9CDD2"/>
      </right>
      <top style="thin">
        <color rgb="FFC9CDD2"/>
      </top>
      <bottom style="thin">
        <color rgb="FFC9CDD2"/>
      </bottom>
    </border>
    <border>
      <bottom style="thin">
        <color rgb="FFC9CDD2"/>
      </bottom>
    </border>
    <border>
      <left/>
      <right/>
      <top/>
      <bottom style="thin">
        <color rgb="FFC9CDD2"/>
      </bottom>
    </border>
    <border>
      <left style="thin">
        <color rgb="FFC9CDD2"/>
      </left>
      <top style="thin">
        <color rgb="FFC9CDD2"/>
      </top>
      <bottom style="thin">
        <color rgb="FFC9CDD2"/>
      </bottom>
    </border>
    <border>
      <top style="thin">
        <color rgb="FFC9CDD2"/>
      </top>
      <bottom style="thin">
        <color rgb="FFC9CDD2"/>
      </bottom>
    </border>
    <border>
      <right style="thin">
        <color rgb="FFC9CDD2"/>
      </right>
      <top style="thin">
        <color rgb="FFC9CDD2"/>
      </top>
      <bottom style="thin">
        <color rgb="FFC9CDD2"/>
      </bottom>
    </border>
  </borders>
  <cellStyleXfs count="1">
    <xf borderId="0" fillId="0" fontId="0" numFmtId="0" applyAlignment="1" applyFont="1"/>
  </cellStyleXfs>
  <cellXfs count="34">
    <xf borderId="0" fillId="0" fontId="0" numFmtId="0" xfId="0" applyAlignment="1" applyFont="1">
      <alignment readingOrder="0" shrinkToFit="0" vertical="center" wrapText="0"/>
    </xf>
    <xf borderId="0" fillId="0" fontId="1" numFmtId="0" xfId="0" applyAlignment="1" applyFont="1">
      <alignment vertical="bottom"/>
    </xf>
    <xf borderId="1" fillId="2" fontId="2" numFmtId="0" xfId="0" applyAlignment="1" applyBorder="1" applyFill="1" applyFont="1">
      <alignment shrinkToFit="0" vertical="center" wrapText="1"/>
    </xf>
    <xf borderId="0" fillId="0" fontId="3" numFmtId="0" xfId="0" applyAlignment="1" applyFont="1">
      <alignment vertical="bottom"/>
    </xf>
    <xf borderId="1" fillId="0" fontId="4"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2" fontId="2" numFmtId="0" xfId="0" applyAlignment="1" applyBorder="1" applyFill="1" applyFont="1">
      <alignment horizontal="left" shrinkToFit="0" vertical="center" wrapText="1"/>
    </xf>
    <xf borderId="1" fillId="0" fontId="7" numFmtId="0" xfId="0" applyAlignment="1" applyBorder="1" applyFont="1">
      <alignment horizontal="left" shrinkToFit="0" vertical="top" wrapText="1"/>
    </xf>
    <xf borderId="2" fillId="0" fontId="8" numFmtId="0" xfId="0" applyAlignment="1" applyBorder="1" applyFont="1">
      <alignment horizontal="left" shrinkToFit="0" vertical="center" wrapText="1"/>
    </xf>
    <xf borderId="2" fillId="0" fontId="9" numFmtId="0" xfId="0" applyAlignment="1" applyBorder="1" applyFont="1">
      <alignment vertical="bottom"/>
    </xf>
    <xf borderId="1" fillId="3" fontId="6" numFmtId="0" xfId="0" applyAlignment="1" applyBorder="1" applyFill="1" applyFont="1">
      <alignment horizontal="left" shrinkToFit="0" vertical="top" wrapText="1"/>
    </xf>
    <xf borderId="1" fillId="0" fontId="10" numFmtId="0" xfId="0" applyAlignment="1" applyBorder="1" applyFont="1">
      <alignment horizontal="left" shrinkToFit="0" vertical="top" wrapText="1"/>
    </xf>
    <xf borderId="3" fillId="4" fontId="11" numFmtId="0" xfId="0" applyAlignment="1" applyBorder="1" applyFill="1" applyFont="1">
      <alignment horizontal="left" shrinkToFit="0" vertical="center" wrapText="1"/>
    </xf>
    <xf borderId="1"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4" fillId="0" fontId="6" numFmtId="0" xfId="0" applyAlignment="1" applyBorder="1" applyFont="1">
      <alignment horizontal="left" shrinkToFit="0" vertical="top" wrapText="1"/>
    </xf>
    <xf borderId="5" fillId="0" fontId="13" numFmtId="0" xfId="0" applyAlignment="1" applyBorder="1" applyFont="1">
      <alignment vertical="center"/>
    </xf>
    <xf borderId="6" fillId="0" fontId="13" numFmtId="0" xfId="0" applyAlignment="1" applyBorder="1" applyFont="1">
      <alignment vertical="center"/>
    </xf>
    <xf borderId="1" fillId="4" fontId="6" numFmtId="0" xfId="0" applyAlignment="1" applyBorder="1" applyFill="1" applyFont="1">
      <alignment horizontal="left" shrinkToFit="0" vertical="top" wrapText="1"/>
    </xf>
    <xf borderId="1" fillId="2" fontId="2" numFmtId="0" xfId="0" applyAlignment="1" applyBorder="1" applyFill="1" applyFont="1">
      <alignment readingOrder="0" vertical="center"/>
    </xf>
    <xf borderId="1" fillId="3" fontId="6" numFmtId="0" xfId="0" applyAlignment="1" applyBorder="1" applyFill="1" applyFont="1">
      <alignment horizontal="left" readingOrder="0" vertical="top"/>
    </xf>
    <xf borderId="1" fillId="3" fontId="6" numFmtId="0" xfId="0" applyAlignment="1" applyBorder="1" applyFill="1" applyFont="1">
      <alignment horizontal="left" vertical="top"/>
    </xf>
    <xf borderId="1" fillId="3" fontId="6" numFmtId="164" xfId="0" applyAlignment="1" applyBorder="1" applyFill="1" applyFont="1" applyNumberFormat="1">
      <alignment horizontal="left" readingOrder="0" vertical="top"/>
    </xf>
    <xf borderId="4" fillId="0" fontId="7" numFmtId="0" xfId="0" applyAlignment="1" applyBorder="1" applyFont="1">
      <alignment horizontal="left" shrinkToFit="0" vertical="center" wrapText="1"/>
    </xf>
    <xf borderId="0" fillId="3" fontId="9" numFmtId="0" xfId="0" applyAlignment="1" applyFill="1" applyFont="1">
      <alignment readingOrder="0" shrinkToFit="0" vertical="bottom" wrapText="0"/>
    </xf>
    <xf borderId="0" fillId="3" fontId="9" numFmtId="0" xfId="0" applyAlignment="1" applyFill="1" applyFont="1">
      <alignment shrinkToFit="0" vertical="bottom" wrapText="0"/>
    </xf>
    <xf borderId="0" fillId="3" fontId="9" numFmtId="164" xfId="0" applyAlignment="1" applyFill="1" applyFont="1" applyNumberFormat="1">
      <alignment readingOrder="0" shrinkToFit="0" vertical="bottom" wrapText="0"/>
    </xf>
    <xf borderId="0" fillId="0" fontId="9" numFmtId="0" xfId="0" applyAlignment="1" applyFont="1">
      <alignment shrinkToFit="0" vertical="bottom" wrapText="0"/>
    </xf>
    <xf borderId="0" fillId="3" fontId="9" numFmtId="0" xfId="0" applyAlignment="1" applyFill="1" applyFont="1">
      <alignment shrinkToFit="0" vertical="bottom" wrapText="0"/>
    </xf>
    <xf borderId="1" fillId="0" fontId="1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10.0"/>
    <col customWidth="1" min="3" max="6" width="8.71"/>
    <col customWidth="1" min="7" max="26" width="14.0"/>
  </cols>
  <sheetData>
    <row r="1" ht="21.75" customHeight="1">
      <c r="A1" s="1" t="s">
        <v>0</v>
      </c>
    </row>
    <row r="2">
      <c r="A2" s="3" t="s">
        <v>2</v>
      </c>
    </row>
    <row r="4" ht="36.0" customHeight="1">
      <c r="A4" s="4" t="s">
        <v>6</v>
      </c>
      <c r="B4" s="6" t="s">
        <v>8</v>
      </c>
    </row>
    <row r="6">
      <c r="A6" s="8" t="s">
        <v>10</v>
      </c>
      <c r="B6" s="8" t="s">
        <v>14</v>
      </c>
    </row>
    <row r="7" ht="24.0" customHeight="1">
      <c r="A7" s="4" t="s">
        <v>16</v>
      </c>
      <c r="B7" s="6" t="s">
        <v>19</v>
      </c>
    </row>
    <row r="8" ht="15.0" customHeight="1">
      <c r="A8" s="4" t="s">
        <v>23</v>
      </c>
      <c r="B8" s="6" t="s">
        <v>25</v>
      </c>
    </row>
    <row r="9" ht="24.0" customHeight="1">
      <c r="A9" s="4" t="s">
        <v>29</v>
      </c>
      <c r="B9" s="6" t="s">
        <v>33</v>
      </c>
    </row>
    <row r="10" ht="48.0" customHeight="1">
      <c r="A10" s="4" t="s">
        <v>36</v>
      </c>
      <c r="B10" s="6" t="s">
        <v>39</v>
      </c>
    </row>
    <row r="11" ht="24.0" customHeight="1">
      <c r="A11" s="4" t="s">
        <v>43</v>
      </c>
      <c r="B11" s="6" t="s">
        <v>46</v>
      </c>
    </row>
    <row r="12" ht="15.0" customHeight="1">
      <c r="A12" s="4" t="s">
        <v>50</v>
      </c>
      <c r="B12" s="6" t="s">
        <v>53</v>
      </c>
    </row>
    <row r="14">
      <c r="A14" s="10" t="s">
        <v>59</v>
      </c>
      <c r="B14" s="11"/>
    </row>
    <row r="15" ht="15.0" customHeight="1">
      <c r="A15" s="4" t="s">
        <v>70</v>
      </c>
      <c r="B15" s="6" t="s">
        <v>73</v>
      </c>
    </row>
    <row r="16" ht="24.0" customHeight="1">
      <c r="A16" s="4" t="s">
        <v>79</v>
      </c>
      <c r="B16" s="6" t="s">
        <v>82</v>
      </c>
    </row>
    <row r="17" ht="24.0" customHeight="1">
      <c r="A17" s="4" t="s">
        <v>87</v>
      </c>
      <c r="B17" s="6" t="s">
        <v>89</v>
      </c>
    </row>
    <row r="18" ht="36.0" customHeight="1">
      <c r="A18" s="4" t="s">
        <v>92</v>
      </c>
      <c r="B18" s="6" t="s">
        <v>94</v>
      </c>
    </row>
    <row r="19" ht="24.0" customHeight="1">
      <c r="A19" s="4" t="s">
        <v>97</v>
      </c>
      <c r="B19" s="6" t="s">
        <v>98</v>
      </c>
    </row>
    <row r="20" ht="36.0" customHeight="1">
      <c r="A20" s="4" t="s">
        <v>101</v>
      </c>
      <c r="B20" s="6" t="s">
        <v>102</v>
      </c>
    </row>
    <row r="21" ht="15.75" customHeight="1"/>
    <row r="22" ht="15.75" customHeight="1">
      <c r="A22" s="14" t="s">
        <v>106</v>
      </c>
      <c r="B22" s="11"/>
    </row>
    <row r="23" ht="24.0" customHeight="1">
      <c r="A23" s="4" t="s">
        <v>118</v>
      </c>
      <c r="B23" s="6" t="s">
        <v>122</v>
      </c>
    </row>
    <row r="24" ht="48.0" customHeight="1">
      <c r="A24" s="4" t="s">
        <v>125</v>
      </c>
      <c r="B24" s="6" t="s">
        <v>127</v>
      </c>
    </row>
    <row r="25" ht="36.0" customHeight="1">
      <c r="A25" s="4" t="s">
        <v>130</v>
      </c>
      <c r="B25" s="6" t="s">
        <v>133</v>
      </c>
    </row>
    <row r="26" ht="24.0" customHeight="1">
      <c r="A26" s="4" t="s">
        <v>136</v>
      </c>
      <c r="B26" s="6" t="s">
        <v>139</v>
      </c>
    </row>
    <row r="27" ht="24.0" customHeight="1">
      <c r="A27" s="4" t="s">
        <v>143</v>
      </c>
      <c r="B27" s="6" t="s">
        <v>146</v>
      </c>
    </row>
    <row r="28" ht="15.75" customHeight="1"/>
    <row r="29" ht="15.75" customHeight="1">
      <c r="A29" s="16" t="s">
        <v>152</v>
      </c>
      <c r="B29" s="17">
        <f>COUNTA('Coding frame'!B2:B200)</f>
        <v>62</v>
      </c>
    </row>
    <row r="30" ht="15.75" customHeight="1">
      <c r="A30" s="16" t="s">
        <v>190</v>
      </c>
      <c r="B30" s="17">
        <f t="array" ref="B30">SUMPRODUCT(1/COUNTIF('Coding frame'!A2:A63,'Coding frame'!A2:A63))</f>
        <v>12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20.0"/>
    <col customWidth="1" min="3" max="3" width="26.0"/>
    <col customWidth="1" min="4" max="4" width="8.0"/>
    <col customWidth="1" min="5" max="5" width="16.0"/>
    <col customWidth="1" min="6" max="6" width="10.0"/>
    <col customWidth="1" min="7" max="7" width="44.0"/>
    <col customWidth="1" min="8" max="9" width="38.0"/>
    <col customWidth="1" min="10" max="10" width="55.0"/>
    <col customWidth="1" min="11" max="11" width="32.0"/>
    <col customWidth="1" min="12" max="12" width="28.0"/>
    <col customWidth="1" min="13" max="13" width="12.0"/>
    <col customWidth="1" min="14" max="26" width="14.0"/>
  </cols>
  <sheetData>
    <row r="1" ht="31.5" customHeight="1">
      <c r="A1" s="2" t="s">
        <v>12</v>
      </c>
      <c r="B1" s="2" t="s">
        <v>18</v>
      </c>
      <c r="C1" s="2" t="s">
        <v>21</v>
      </c>
      <c r="D1" s="2" t="s">
        <v>27</v>
      </c>
      <c r="E1" s="2" t="s">
        <v>32</v>
      </c>
      <c r="F1" s="2" t="s">
        <v>13</v>
      </c>
      <c r="G1" s="2" t="s">
        <v>38</v>
      </c>
      <c r="H1" s="2" t="s">
        <v>41</v>
      </c>
      <c r="I1" s="2" t="s">
        <v>45</v>
      </c>
      <c r="J1" s="2" t="s">
        <v>49</v>
      </c>
      <c r="K1" s="2" t="s">
        <v>52</v>
      </c>
      <c r="L1" s="2" t="s">
        <v>55</v>
      </c>
      <c r="M1" s="2" t="s">
        <v>57</v>
      </c>
    </row>
    <row r="2" ht="57.75" customHeight="1">
      <c r="A2" s="4" t="s">
        <v>62</v>
      </c>
      <c r="B2" s="5" t="s">
        <v>65</v>
      </c>
      <c r="C2" s="6" t="s">
        <v>72</v>
      </c>
      <c r="D2" s="6" t="s">
        <v>75</v>
      </c>
      <c r="E2" s="6" t="s">
        <v>77</v>
      </c>
      <c r="F2" s="6" t="s">
        <v>80</v>
      </c>
      <c r="G2" s="6" t="s">
        <v>83</v>
      </c>
      <c r="H2" s="6" t="s">
        <v>86</v>
      </c>
      <c r="I2" s="6" t="s">
        <v>88</v>
      </c>
      <c r="J2" s="13" t="s">
        <v>95</v>
      </c>
      <c r="K2" s="15" t="s">
        <v>111</v>
      </c>
      <c r="L2" s="6" t="s">
        <v>121</v>
      </c>
      <c r="M2" s="7" t="s">
        <v>20</v>
      </c>
    </row>
    <row r="3" ht="57.75" customHeight="1">
      <c r="A3" s="4" t="s">
        <v>62</v>
      </c>
      <c r="B3" s="5" t="s">
        <v>129</v>
      </c>
      <c r="C3" s="6" t="s">
        <v>131</v>
      </c>
      <c r="D3" s="6" t="s">
        <v>75</v>
      </c>
      <c r="E3" s="6" t="s">
        <v>77</v>
      </c>
      <c r="F3" s="6" t="s">
        <v>80</v>
      </c>
      <c r="G3" s="6" t="s">
        <v>135</v>
      </c>
      <c r="H3" s="6" t="s">
        <v>138</v>
      </c>
      <c r="I3" s="6" t="s">
        <v>140</v>
      </c>
      <c r="J3" s="13" t="s">
        <v>144</v>
      </c>
      <c r="K3" s="15" t="s">
        <v>147</v>
      </c>
      <c r="L3" s="6" t="s">
        <v>148</v>
      </c>
      <c r="M3" s="7" t="s">
        <v>20</v>
      </c>
    </row>
    <row r="4" ht="57.75" customHeight="1">
      <c r="A4" s="4" t="s">
        <v>62</v>
      </c>
      <c r="B4" s="5" t="s">
        <v>154</v>
      </c>
      <c r="C4" s="6" t="s">
        <v>155</v>
      </c>
      <c r="D4" s="6" t="s">
        <v>75</v>
      </c>
      <c r="E4" s="6" t="s">
        <v>77</v>
      </c>
      <c r="F4" s="6" t="s">
        <v>80</v>
      </c>
      <c r="G4" s="6" t="s">
        <v>157</v>
      </c>
      <c r="H4" s="6" t="s">
        <v>158</v>
      </c>
      <c r="I4" s="6" t="s">
        <v>159</v>
      </c>
      <c r="J4" s="13" t="s">
        <v>161</v>
      </c>
      <c r="K4" s="15" t="s">
        <v>163</v>
      </c>
      <c r="L4" s="6" t="s">
        <v>164</v>
      </c>
      <c r="M4" s="7" t="s">
        <v>20</v>
      </c>
    </row>
    <row r="5" ht="57.75" customHeight="1">
      <c r="A5" s="4" t="s">
        <v>62</v>
      </c>
      <c r="B5" s="5" t="s">
        <v>166</v>
      </c>
      <c r="C5" s="6" t="s">
        <v>167</v>
      </c>
      <c r="D5" s="6" t="s">
        <v>75</v>
      </c>
      <c r="E5" s="6" t="s">
        <v>77</v>
      </c>
      <c r="F5" s="6" t="s">
        <v>80</v>
      </c>
      <c r="G5" s="6" t="s">
        <v>168</v>
      </c>
      <c r="H5" s="6" t="s">
        <v>169</v>
      </c>
      <c r="I5" s="6" t="s">
        <v>170</v>
      </c>
      <c r="J5" s="13" t="s">
        <v>171</v>
      </c>
      <c r="K5" s="15" t="s">
        <v>147</v>
      </c>
      <c r="L5" s="6" t="s">
        <v>172</v>
      </c>
      <c r="M5" s="7" t="s">
        <v>20</v>
      </c>
    </row>
    <row r="6" ht="57.75" customHeight="1">
      <c r="A6" s="4" t="s">
        <v>62</v>
      </c>
      <c r="B6" s="5" t="s">
        <v>174</v>
      </c>
      <c r="C6" s="6" t="s">
        <v>175</v>
      </c>
      <c r="D6" s="6" t="s">
        <v>75</v>
      </c>
      <c r="E6" s="6" t="s">
        <v>77</v>
      </c>
      <c r="F6" s="6" t="s">
        <v>80</v>
      </c>
      <c r="G6" s="6" t="s">
        <v>176</v>
      </c>
      <c r="H6" s="6" t="s">
        <v>178</v>
      </c>
      <c r="I6" s="6" t="s">
        <v>179</v>
      </c>
      <c r="J6" s="13" t="s">
        <v>180</v>
      </c>
      <c r="K6" s="15" t="s">
        <v>181</v>
      </c>
      <c r="L6" s="6" t="s">
        <v>182</v>
      </c>
      <c r="M6" s="7" t="s">
        <v>20</v>
      </c>
    </row>
    <row r="7" ht="57.75" customHeight="1">
      <c r="A7" s="4" t="s">
        <v>183</v>
      </c>
      <c r="B7" s="5" t="s">
        <v>184</v>
      </c>
      <c r="C7" s="6" t="s">
        <v>185</v>
      </c>
      <c r="D7" s="6" t="s">
        <v>186</v>
      </c>
      <c r="E7" s="6" t="s">
        <v>187</v>
      </c>
      <c r="F7" s="6" t="s">
        <v>80</v>
      </c>
      <c r="G7" s="6" t="s">
        <v>189</v>
      </c>
      <c r="H7" s="6" t="s">
        <v>191</v>
      </c>
      <c r="I7" s="6" t="s">
        <v>192</v>
      </c>
      <c r="J7" s="13" t="s">
        <v>193</v>
      </c>
      <c r="K7" s="15" t="s">
        <v>194</v>
      </c>
      <c r="L7" s="6" t="s">
        <v>195</v>
      </c>
      <c r="M7" s="7" t="s">
        <v>26</v>
      </c>
    </row>
    <row r="8" ht="57.75" customHeight="1">
      <c r="A8" s="4" t="s">
        <v>183</v>
      </c>
      <c r="B8" s="5" t="s">
        <v>197</v>
      </c>
      <c r="C8" s="6" t="s">
        <v>198</v>
      </c>
      <c r="D8" s="6" t="s">
        <v>186</v>
      </c>
      <c r="E8" s="6" t="s">
        <v>187</v>
      </c>
      <c r="F8" s="6" t="s">
        <v>80</v>
      </c>
      <c r="G8" s="6" t="s">
        <v>200</v>
      </c>
      <c r="H8" s="6" t="s">
        <v>202</v>
      </c>
      <c r="I8" s="6" t="s">
        <v>203</v>
      </c>
      <c r="J8" s="13" t="s">
        <v>204</v>
      </c>
      <c r="K8" s="15" t="s">
        <v>205</v>
      </c>
      <c r="L8" s="6" t="s">
        <v>206</v>
      </c>
      <c r="M8" s="7" t="s">
        <v>26</v>
      </c>
    </row>
    <row r="9" ht="57.75" customHeight="1">
      <c r="A9" s="4" t="s">
        <v>183</v>
      </c>
      <c r="B9" s="5" t="s">
        <v>207</v>
      </c>
      <c r="C9" s="6" t="s">
        <v>209</v>
      </c>
      <c r="D9" s="6" t="s">
        <v>186</v>
      </c>
      <c r="E9" s="6" t="s">
        <v>187</v>
      </c>
      <c r="F9" s="6" t="s">
        <v>80</v>
      </c>
      <c r="G9" s="6" t="s">
        <v>211</v>
      </c>
      <c r="H9" s="6" t="s">
        <v>212</v>
      </c>
      <c r="I9" s="6" t="s">
        <v>213</v>
      </c>
      <c r="J9" s="13" t="s">
        <v>214</v>
      </c>
      <c r="K9" s="15" t="s">
        <v>163</v>
      </c>
      <c r="L9" s="6" t="s">
        <v>215</v>
      </c>
      <c r="M9" s="7" t="s">
        <v>26</v>
      </c>
    </row>
    <row r="10" ht="57.75" customHeight="1">
      <c r="A10" s="4" t="s">
        <v>183</v>
      </c>
      <c r="B10" s="5" t="s">
        <v>216</v>
      </c>
      <c r="C10" s="6" t="s">
        <v>217</v>
      </c>
      <c r="D10" s="6" t="s">
        <v>186</v>
      </c>
      <c r="E10" s="6" t="s">
        <v>187</v>
      </c>
      <c r="F10" s="6" t="s">
        <v>80</v>
      </c>
      <c r="G10" s="6" t="s">
        <v>218</v>
      </c>
      <c r="H10" s="6" t="s">
        <v>219</v>
      </c>
      <c r="I10" s="6" t="s">
        <v>220</v>
      </c>
      <c r="J10" s="13" t="s">
        <v>221</v>
      </c>
      <c r="K10" s="15" t="s">
        <v>223</v>
      </c>
      <c r="L10" s="6" t="s">
        <v>224</v>
      </c>
      <c r="M10" s="7" t="s">
        <v>26</v>
      </c>
    </row>
    <row r="11" ht="57.75" customHeight="1">
      <c r="A11" s="4" t="s">
        <v>183</v>
      </c>
      <c r="B11" s="5" t="s">
        <v>226</v>
      </c>
      <c r="C11" s="6" t="s">
        <v>227</v>
      </c>
      <c r="D11" s="6" t="s">
        <v>186</v>
      </c>
      <c r="E11" s="6" t="s">
        <v>187</v>
      </c>
      <c r="F11" s="6" t="s">
        <v>80</v>
      </c>
      <c r="G11" s="6" t="s">
        <v>229</v>
      </c>
      <c r="H11" s="6" t="s">
        <v>230</v>
      </c>
      <c r="I11" s="6" t="s">
        <v>232</v>
      </c>
      <c r="J11" s="13" t="s">
        <v>180</v>
      </c>
      <c r="K11" s="15" t="s">
        <v>181</v>
      </c>
      <c r="L11" s="6" t="s">
        <v>182</v>
      </c>
      <c r="M11" s="7" t="s">
        <v>26</v>
      </c>
    </row>
    <row r="12" ht="57.75" customHeight="1">
      <c r="A12" s="4" t="s">
        <v>236</v>
      </c>
      <c r="B12" s="5" t="s">
        <v>237</v>
      </c>
      <c r="C12" s="6" t="s">
        <v>238</v>
      </c>
      <c r="D12" s="6" t="s">
        <v>239</v>
      </c>
      <c r="E12" s="6" t="s">
        <v>240</v>
      </c>
      <c r="F12" s="6" t="s">
        <v>80</v>
      </c>
      <c r="G12" s="6" t="s">
        <v>242</v>
      </c>
      <c r="H12" s="6" t="s">
        <v>243</v>
      </c>
      <c r="I12" s="6" t="s">
        <v>245</v>
      </c>
      <c r="J12" s="13" t="s">
        <v>246</v>
      </c>
      <c r="K12" s="15" t="s">
        <v>247</v>
      </c>
      <c r="L12" s="6" t="s">
        <v>248</v>
      </c>
      <c r="M12" s="7" t="s">
        <v>26</v>
      </c>
    </row>
    <row r="13" ht="57.75" customHeight="1">
      <c r="A13" s="4" t="s">
        <v>236</v>
      </c>
      <c r="B13" s="5" t="s">
        <v>250</v>
      </c>
      <c r="C13" s="6" t="s">
        <v>251</v>
      </c>
      <c r="D13" s="6" t="s">
        <v>239</v>
      </c>
      <c r="E13" s="6" t="s">
        <v>240</v>
      </c>
      <c r="F13" s="6" t="s">
        <v>80</v>
      </c>
      <c r="G13" s="6" t="s">
        <v>254</v>
      </c>
      <c r="H13" s="6" t="s">
        <v>256</v>
      </c>
      <c r="I13" s="6" t="s">
        <v>257</v>
      </c>
      <c r="J13" s="13" t="s">
        <v>258</v>
      </c>
      <c r="K13" s="15" t="s">
        <v>259</v>
      </c>
      <c r="L13" s="6" t="s">
        <v>260</v>
      </c>
      <c r="M13" s="7" t="s">
        <v>26</v>
      </c>
    </row>
    <row r="14" ht="57.75" customHeight="1">
      <c r="A14" s="4" t="s">
        <v>236</v>
      </c>
      <c r="B14" s="5" t="s">
        <v>262</v>
      </c>
      <c r="C14" s="6" t="s">
        <v>263</v>
      </c>
      <c r="D14" s="6" t="s">
        <v>239</v>
      </c>
      <c r="E14" s="6" t="s">
        <v>240</v>
      </c>
      <c r="F14" s="6" t="s">
        <v>80</v>
      </c>
      <c r="G14" s="6" t="s">
        <v>265</v>
      </c>
      <c r="H14" s="6" t="s">
        <v>266</v>
      </c>
      <c r="I14" s="6" t="s">
        <v>267</v>
      </c>
      <c r="J14" s="13" t="s">
        <v>269</v>
      </c>
      <c r="K14" s="15" t="s">
        <v>270</v>
      </c>
      <c r="L14" s="6" t="s">
        <v>271</v>
      </c>
      <c r="M14" s="7" t="s">
        <v>26</v>
      </c>
    </row>
    <row r="15" ht="57.75" customHeight="1">
      <c r="A15" s="4" t="s">
        <v>236</v>
      </c>
      <c r="B15" s="5" t="s">
        <v>273</v>
      </c>
      <c r="C15" s="6" t="s">
        <v>274</v>
      </c>
      <c r="D15" s="6" t="s">
        <v>239</v>
      </c>
      <c r="E15" s="6" t="s">
        <v>240</v>
      </c>
      <c r="F15" s="6" t="s">
        <v>80</v>
      </c>
      <c r="G15" s="6" t="s">
        <v>275</v>
      </c>
      <c r="H15" s="6" t="s">
        <v>276</v>
      </c>
      <c r="I15" s="6" t="s">
        <v>277</v>
      </c>
      <c r="J15" s="13" t="s">
        <v>279</v>
      </c>
      <c r="K15" s="15" t="s">
        <v>247</v>
      </c>
      <c r="L15" s="6" t="s">
        <v>280</v>
      </c>
      <c r="M15" s="7" t="s">
        <v>26</v>
      </c>
    </row>
    <row r="16" ht="57.75" customHeight="1">
      <c r="A16" s="4" t="s">
        <v>236</v>
      </c>
      <c r="B16" s="5" t="s">
        <v>282</v>
      </c>
      <c r="C16" s="6" t="s">
        <v>283</v>
      </c>
      <c r="D16" s="6" t="s">
        <v>239</v>
      </c>
      <c r="E16" s="6" t="s">
        <v>240</v>
      </c>
      <c r="F16" s="6" t="s">
        <v>80</v>
      </c>
      <c r="G16" s="6" t="s">
        <v>286</v>
      </c>
      <c r="H16" s="6" t="s">
        <v>287</v>
      </c>
      <c r="I16" s="6" t="s">
        <v>288</v>
      </c>
      <c r="J16" s="13" t="s">
        <v>290</v>
      </c>
      <c r="K16" s="15" t="s">
        <v>291</v>
      </c>
      <c r="L16" s="6" t="s">
        <v>292</v>
      </c>
      <c r="M16" s="7" t="s">
        <v>26</v>
      </c>
    </row>
    <row r="17" ht="57.75" customHeight="1">
      <c r="A17" s="4" t="s">
        <v>236</v>
      </c>
      <c r="B17" s="5" t="s">
        <v>293</v>
      </c>
      <c r="C17" s="6" t="s">
        <v>294</v>
      </c>
      <c r="D17" s="6" t="s">
        <v>239</v>
      </c>
      <c r="E17" s="6" t="s">
        <v>240</v>
      </c>
      <c r="F17" s="6" t="s">
        <v>80</v>
      </c>
      <c r="G17" s="6" t="s">
        <v>295</v>
      </c>
      <c r="H17" s="6" t="s">
        <v>230</v>
      </c>
      <c r="I17" s="6" t="s">
        <v>232</v>
      </c>
      <c r="J17" s="13" t="s">
        <v>180</v>
      </c>
      <c r="K17" s="15" t="s">
        <v>181</v>
      </c>
      <c r="L17" s="6" t="s">
        <v>182</v>
      </c>
      <c r="M17" s="7" t="s">
        <v>26</v>
      </c>
    </row>
    <row r="18" ht="57.75" customHeight="1">
      <c r="A18" s="4" t="s">
        <v>297</v>
      </c>
      <c r="B18" s="5" t="s">
        <v>298</v>
      </c>
      <c r="C18" s="6" t="s">
        <v>299</v>
      </c>
      <c r="D18" s="6" t="s">
        <v>300</v>
      </c>
      <c r="E18" s="6" t="s">
        <v>301</v>
      </c>
      <c r="F18" s="6" t="s">
        <v>80</v>
      </c>
      <c r="G18" s="6" t="s">
        <v>303</v>
      </c>
      <c r="H18" s="6" t="s">
        <v>304</v>
      </c>
      <c r="I18" s="6" t="s">
        <v>305</v>
      </c>
      <c r="J18" s="13" t="s">
        <v>306</v>
      </c>
      <c r="K18" s="15" t="s">
        <v>307</v>
      </c>
      <c r="L18" s="6" t="s">
        <v>309</v>
      </c>
      <c r="M18" s="7" t="s">
        <v>26</v>
      </c>
    </row>
    <row r="19" ht="57.75" customHeight="1">
      <c r="A19" s="4" t="s">
        <v>297</v>
      </c>
      <c r="B19" s="5" t="s">
        <v>310</v>
      </c>
      <c r="C19" s="6" t="s">
        <v>311</v>
      </c>
      <c r="D19" s="6" t="s">
        <v>312</v>
      </c>
      <c r="E19" s="6" t="s">
        <v>313</v>
      </c>
      <c r="F19" s="6" t="s">
        <v>80</v>
      </c>
      <c r="G19" s="6" t="s">
        <v>314</v>
      </c>
      <c r="H19" s="6" t="s">
        <v>315</v>
      </c>
      <c r="I19" s="6" t="s">
        <v>316</v>
      </c>
      <c r="J19" s="13" t="s">
        <v>317</v>
      </c>
      <c r="K19" s="15" t="s">
        <v>318</v>
      </c>
      <c r="L19" s="6" t="s">
        <v>319</v>
      </c>
      <c r="M19" s="7" t="s">
        <v>26</v>
      </c>
    </row>
    <row r="20" ht="57.75" customHeight="1">
      <c r="A20" s="4" t="s">
        <v>297</v>
      </c>
      <c r="B20" s="5" t="s">
        <v>321</v>
      </c>
      <c r="C20" s="6" t="s">
        <v>322</v>
      </c>
      <c r="D20" s="6" t="s">
        <v>312</v>
      </c>
      <c r="E20" s="6" t="s">
        <v>313</v>
      </c>
      <c r="F20" s="6" t="s">
        <v>80</v>
      </c>
      <c r="G20" s="6" t="s">
        <v>323</v>
      </c>
      <c r="H20" s="6" t="s">
        <v>324</v>
      </c>
      <c r="I20" s="6" t="s">
        <v>325</v>
      </c>
      <c r="J20" s="13" t="s">
        <v>326</v>
      </c>
      <c r="K20" s="15" t="s">
        <v>327</v>
      </c>
      <c r="L20" s="6" t="s">
        <v>271</v>
      </c>
      <c r="M20" s="7" t="s">
        <v>26</v>
      </c>
    </row>
    <row r="21" ht="57.75" customHeight="1">
      <c r="A21" s="4" t="s">
        <v>297</v>
      </c>
      <c r="B21" s="5" t="s">
        <v>328</v>
      </c>
      <c r="C21" s="6" t="s">
        <v>329</v>
      </c>
      <c r="D21" s="6" t="s">
        <v>312</v>
      </c>
      <c r="E21" s="6" t="s">
        <v>313</v>
      </c>
      <c r="F21" s="6" t="s">
        <v>80</v>
      </c>
      <c r="G21" s="6" t="s">
        <v>331</v>
      </c>
      <c r="H21" s="6" t="s">
        <v>332</v>
      </c>
      <c r="I21" s="6" t="s">
        <v>333</v>
      </c>
      <c r="J21" s="13" t="s">
        <v>334</v>
      </c>
      <c r="K21" s="15" t="s">
        <v>318</v>
      </c>
      <c r="L21" s="6" t="s">
        <v>335</v>
      </c>
      <c r="M21" s="7" t="s">
        <v>26</v>
      </c>
    </row>
    <row r="22" ht="57.75" customHeight="1">
      <c r="A22" s="4" t="s">
        <v>297</v>
      </c>
      <c r="B22" s="5" t="s">
        <v>336</v>
      </c>
      <c r="C22" s="6" t="s">
        <v>337</v>
      </c>
      <c r="D22" s="6" t="s">
        <v>312</v>
      </c>
      <c r="E22" s="6" t="s">
        <v>313</v>
      </c>
      <c r="F22" s="6" t="s">
        <v>80</v>
      </c>
      <c r="G22" s="6" t="s">
        <v>295</v>
      </c>
      <c r="H22" s="6" t="s">
        <v>230</v>
      </c>
      <c r="I22" s="6" t="s">
        <v>232</v>
      </c>
      <c r="J22" s="13" t="s">
        <v>180</v>
      </c>
      <c r="K22" s="15" t="s">
        <v>181</v>
      </c>
      <c r="L22" s="6" t="s">
        <v>182</v>
      </c>
      <c r="M22" s="7" t="s">
        <v>26</v>
      </c>
    </row>
    <row r="23" ht="57.75" customHeight="1">
      <c r="A23" s="4" t="s">
        <v>339</v>
      </c>
      <c r="B23" s="5" t="s">
        <v>340</v>
      </c>
      <c r="C23" s="6" t="s">
        <v>341</v>
      </c>
      <c r="D23" s="6" t="s">
        <v>342</v>
      </c>
      <c r="E23" s="6" t="s">
        <v>343</v>
      </c>
      <c r="F23" s="6" t="s">
        <v>80</v>
      </c>
      <c r="G23" s="6" t="s">
        <v>345</v>
      </c>
      <c r="H23" s="6" t="s">
        <v>346</v>
      </c>
      <c r="I23" s="6" t="s">
        <v>347</v>
      </c>
      <c r="J23" s="13" t="s">
        <v>348</v>
      </c>
      <c r="K23" s="15" t="s">
        <v>350</v>
      </c>
      <c r="L23" s="6" t="s">
        <v>351</v>
      </c>
      <c r="M23" s="7" t="s">
        <v>26</v>
      </c>
    </row>
    <row r="24" ht="57.75" customHeight="1">
      <c r="A24" s="4" t="s">
        <v>339</v>
      </c>
      <c r="B24" s="5" t="s">
        <v>353</v>
      </c>
      <c r="C24" s="6" t="s">
        <v>354</v>
      </c>
      <c r="D24" s="6" t="s">
        <v>342</v>
      </c>
      <c r="E24" s="6" t="s">
        <v>343</v>
      </c>
      <c r="F24" s="6" t="s">
        <v>80</v>
      </c>
      <c r="G24" s="6" t="s">
        <v>355</v>
      </c>
      <c r="H24" s="6" t="s">
        <v>356</v>
      </c>
      <c r="I24" s="6" t="s">
        <v>357</v>
      </c>
      <c r="J24" s="13" t="s">
        <v>358</v>
      </c>
      <c r="K24" s="15" t="s">
        <v>359</v>
      </c>
      <c r="L24" s="6" t="s">
        <v>360</v>
      </c>
      <c r="M24" s="7" t="s">
        <v>26</v>
      </c>
    </row>
    <row r="25" ht="57.75" customHeight="1">
      <c r="A25" s="4" t="s">
        <v>339</v>
      </c>
      <c r="B25" s="5" t="s">
        <v>361</v>
      </c>
      <c r="C25" s="6" t="s">
        <v>362</v>
      </c>
      <c r="D25" s="6" t="s">
        <v>342</v>
      </c>
      <c r="E25" s="6" t="s">
        <v>363</v>
      </c>
      <c r="F25" s="6" t="s">
        <v>80</v>
      </c>
      <c r="G25" s="6" t="s">
        <v>364</v>
      </c>
      <c r="H25" s="6" t="s">
        <v>365</v>
      </c>
      <c r="I25" s="6" t="s">
        <v>366</v>
      </c>
      <c r="J25" s="13" t="s">
        <v>367</v>
      </c>
      <c r="K25" s="15" t="s">
        <v>369</v>
      </c>
      <c r="L25" s="6" t="s">
        <v>370</v>
      </c>
      <c r="M25" s="7" t="s">
        <v>26</v>
      </c>
    </row>
    <row r="26" ht="57.75" customHeight="1">
      <c r="A26" s="4" t="s">
        <v>339</v>
      </c>
      <c r="B26" s="5" t="s">
        <v>372</v>
      </c>
      <c r="C26" s="6" t="s">
        <v>374</v>
      </c>
      <c r="D26" s="6" t="s">
        <v>342</v>
      </c>
      <c r="E26" s="6" t="s">
        <v>343</v>
      </c>
      <c r="F26" s="6" t="s">
        <v>80</v>
      </c>
      <c r="G26" s="6" t="s">
        <v>295</v>
      </c>
      <c r="H26" s="6" t="s">
        <v>230</v>
      </c>
      <c r="I26" s="6" t="s">
        <v>232</v>
      </c>
      <c r="J26" s="13" t="s">
        <v>180</v>
      </c>
      <c r="K26" s="15" t="s">
        <v>181</v>
      </c>
      <c r="L26" s="6" t="s">
        <v>182</v>
      </c>
      <c r="M26" s="7" t="s">
        <v>26</v>
      </c>
    </row>
    <row r="27" ht="57.75" customHeight="1">
      <c r="A27" s="4" t="s">
        <v>375</v>
      </c>
      <c r="B27" s="5" t="s">
        <v>376</v>
      </c>
      <c r="C27" s="6" t="s">
        <v>377</v>
      </c>
      <c r="D27" s="6" t="s">
        <v>300</v>
      </c>
      <c r="E27" s="6" t="s">
        <v>301</v>
      </c>
      <c r="F27" s="6" t="s">
        <v>80</v>
      </c>
      <c r="G27" s="6" t="s">
        <v>378</v>
      </c>
      <c r="H27" s="6" t="s">
        <v>379</v>
      </c>
      <c r="I27" s="6" t="s">
        <v>380</v>
      </c>
      <c r="J27" s="13" t="s">
        <v>381</v>
      </c>
      <c r="K27" s="15" t="s">
        <v>382</v>
      </c>
      <c r="L27" s="6" t="s">
        <v>383</v>
      </c>
      <c r="M27" s="7" t="s">
        <v>26</v>
      </c>
    </row>
    <row r="28" ht="57.75" customHeight="1">
      <c r="A28" s="4" t="s">
        <v>375</v>
      </c>
      <c r="B28" s="5" t="s">
        <v>384</v>
      </c>
      <c r="C28" s="6" t="s">
        <v>385</v>
      </c>
      <c r="D28" s="6" t="s">
        <v>300</v>
      </c>
      <c r="E28" s="6" t="s">
        <v>301</v>
      </c>
      <c r="F28" s="6" t="s">
        <v>80</v>
      </c>
      <c r="G28" s="6" t="s">
        <v>386</v>
      </c>
      <c r="H28" s="6" t="s">
        <v>387</v>
      </c>
      <c r="I28" s="6" t="s">
        <v>388</v>
      </c>
      <c r="J28" s="13" t="s">
        <v>389</v>
      </c>
      <c r="K28" s="15" t="s">
        <v>390</v>
      </c>
      <c r="L28" s="6" t="s">
        <v>215</v>
      </c>
      <c r="M28" s="7" t="s">
        <v>26</v>
      </c>
    </row>
    <row r="29" ht="57.75" customHeight="1">
      <c r="A29" s="4" t="s">
        <v>375</v>
      </c>
      <c r="B29" s="5" t="s">
        <v>393</v>
      </c>
      <c r="C29" s="6" t="s">
        <v>395</v>
      </c>
      <c r="D29" s="6" t="s">
        <v>300</v>
      </c>
      <c r="E29" s="6" t="s">
        <v>301</v>
      </c>
      <c r="F29" s="6" t="s">
        <v>80</v>
      </c>
      <c r="G29" s="6" t="s">
        <v>398</v>
      </c>
      <c r="H29" s="6" t="s">
        <v>399</v>
      </c>
      <c r="I29" s="6" t="s">
        <v>400</v>
      </c>
      <c r="J29" s="13" t="s">
        <v>401</v>
      </c>
      <c r="K29" s="15" t="s">
        <v>390</v>
      </c>
      <c r="L29" s="6" t="s">
        <v>402</v>
      </c>
      <c r="M29" s="7" t="s">
        <v>26</v>
      </c>
    </row>
    <row r="30" ht="57.75" customHeight="1">
      <c r="A30" s="4" t="s">
        <v>375</v>
      </c>
      <c r="B30" s="5" t="s">
        <v>404</v>
      </c>
      <c r="C30" s="6" t="s">
        <v>405</v>
      </c>
      <c r="D30" s="6" t="s">
        <v>300</v>
      </c>
      <c r="E30" s="6" t="s">
        <v>301</v>
      </c>
      <c r="F30" s="6" t="s">
        <v>80</v>
      </c>
      <c r="G30" s="6" t="s">
        <v>295</v>
      </c>
      <c r="H30" s="6" t="s">
        <v>230</v>
      </c>
      <c r="I30" s="6" t="s">
        <v>232</v>
      </c>
      <c r="J30" s="13" t="s">
        <v>180</v>
      </c>
      <c r="K30" s="15" t="s">
        <v>181</v>
      </c>
      <c r="L30" s="6" t="s">
        <v>182</v>
      </c>
      <c r="M30" s="7" t="s">
        <v>26</v>
      </c>
    </row>
    <row r="31" ht="57.75" customHeight="1">
      <c r="A31" s="4" t="s">
        <v>408</v>
      </c>
      <c r="B31" s="5" t="s">
        <v>409</v>
      </c>
      <c r="C31" s="6" t="s">
        <v>411</v>
      </c>
      <c r="D31" s="6" t="s">
        <v>75</v>
      </c>
      <c r="E31" s="6" t="s">
        <v>77</v>
      </c>
      <c r="F31" s="6" t="s">
        <v>80</v>
      </c>
      <c r="G31" s="6" t="s">
        <v>412</v>
      </c>
      <c r="H31" s="6" t="s">
        <v>413</v>
      </c>
      <c r="I31" s="6" t="s">
        <v>414</v>
      </c>
      <c r="J31" s="13" t="s">
        <v>416</v>
      </c>
      <c r="K31" s="15" t="s">
        <v>417</v>
      </c>
      <c r="L31" s="6" t="s">
        <v>418</v>
      </c>
      <c r="M31" s="7" t="s">
        <v>20</v>
      </c>
    </row>
    <row r="32" ht="57.75" customHeight="1">
      <c r="A32" s="4" t="s">
        <v>408</v>
      </c>
      <c r="B32" s="5" t="s">
        <v>420</v>
      </c>
      <c r="C32" s="6" t="s">
        <v>421</v>
      </c>
      <c r="D32" s="6" t="s">
        <v>75</v>
      </c>
      <c r="E32" s="6" t="s">
        <v>77</v>
      </c>
      <c r="F32" s="6" t="s">
        <v>80</v>
      </c>
      <c r="G32" s="6" t="s">
        <v>423</v>
      </c>
      <c r="H32" s="6" t="s">
        <v>424</v>
      </c>
      <c r="I32" s="6" t="s">
        <v>425</v>
      </c>
      <c r="J32" s="13" t="s">
        <v>426</v>
      </c>
      <c r="K32" s="15" t="s">
        <v>427</v>
      </c>
      <c r="L32" s="6" t="s">
        <v>428</v>
      </c>
      <c r="M32" s="7" t="s">
        <v>20</v>
      </c>
    </row>
    <row r="33" ht="57.75" customHeight="1">
      <c r="A33" s="4" t="s">
        <v>408</v>
      </c>
      <c r="B33" s="5" t="s">
        <v>429</v>
      </c>
      <c r="C33" s="6" t="s">
        <v>430</v>
      </c>
      <c r="D33" s="6" t="s">
        <v>75</v>
      </c>
      <c r="E33" s="6" t="s">
        <v>77</v>
      </c>
      <c r="F33" s="6" t="s">
        <v>80</v>
      </c>
      <c r="G33" s="6" t="s">
        <v>431</v>
      </c>
      <c r="H33" s="6" t="s">
        <v>432</v>
      </c>
      <c r="I33" s="6" t="s">
        <v>433</v>
      </c>
      <c r="J33" s="13" t="s">
        <v>434</v>
      </c>
      <c r="K33" s="15" t="s">
        <v>417</v>
      </c>
      <c r="L33" s="6" t="s">
        <v>435</v>
      </c>
      <c r="M33" s="7" t="s">
        <v>20</v>
      </c>
    </row>
    <row r="34" ht="57.75" customHeight="1">
      <c r="A34" s="4" t="s">
        <v>408</v>
      </c>
      <c r="B34" s="5" t="s">
        <v>436</v>
      </c>
      <c r="C34" s="6" t="s">
        <v>438</v>
      </c>
      <c r="D34" s="6" t="s">
        <v>75</v>
      </c>
      <c r="E34" s="6" t="s">
        <v>77</v>
      </c>
      <c r="F34" s="6" t="s">
        <v>80</v>
      </c>
      <c r="G34" s="6" t="s">
        <v>439</v>
      </c>
      <c r="H34" s="6" t="s">
        <v>440</v>
      </c>
      <c r="I34" s="6" t="s">
        <v>441</v>
      </c>
      <c r="J34" s="13" t="s">
        <v>442</v>
      </c>
      <c r="K34" s="15" t="s">
        <v>163</v>
      </c>
      <c r="L34" s="6" t="s">
        <v>443</v>
      </c>
      <c r="M34" s="7" t="s">
        <v>20</v>
      </c>
    </row>
    <row r="35" ht="57.75" customHeight="1">
      <c r="A35" s="4" t="s">
        <v>408</v>
      </c>
      <c r="B35" s="5" t="s">
        <v>444</v>
      </c>
      <c r="C35" s="6" t="s">
        <v>445</v>
      </c>
      <c r="D35" s="6" t="s">
        <v>75</v>
      </c>
      <c r="E35" s="6" t="s">
        <v>77</v>
      </c>
      <c r="F35" s="6" t="s">
        <v>80</v>
      </c>
      <c r="G35" s="6" t="s">
        <v>295</v>
      </c>
      <c r="H35" s="6" t="s">
        <v>230</v>
      </c>
      <c r="I35" s="6" t="s">
        <v>232</v>
      </c>
      <c r="J35" s="13" t="s">
        <v>180</v>
      </c>
      <c r="K35" s="15" t="s">
        <v>181</v>
      </c>
      <c r="L35" s="6" t="s">
        <v>182</v>
      </c>
      <c r="M35" s="7" t="s">
        <v>20</v>
      </c>
    </row>
    <row r="36" ht="57.75" customHeight="1">
      <c r="A36" s="4" t="s">
        <v>446</v>
      </c>
      <c r="B36" s="5" t="s">
        <v>447</v>
      </c>
      <c r="C36" s="6" t="s">
        <v>448</v>
      </c>
      <c r="D36" s="6" t="s">
        <v>75</v>
      </c>
      <c r="E36" s="6" t="s">
        <v>449</v>
      </c>
      <c r="F36" s="6" t="s">
        <v>80</v>
      </c>
      <c r="G36" s="6" t="s">
        <v>450</v>
      </c>
      <c r="H36" s="6" t="s">
        <v>451</v>
      </c>
      <c r="I36" s="6" t="s">
        <v>452</v>
      </c>
      <c r="J36" s="13" t="s">
        <v>453</v>
      </c>
      <c r="K36" s="15" t="s">
        <v>454</v>
      </c>
      <c r="L36" s="6" t="s">
        <v>455</v>
      </c>
      <c r="M36" s="7" t="s">
        <v>20</v>
      </c>
    </row>
    <row r="37" ht="57.75" customHeight="1">
      <c r="A37" s="4" t="s">
        <v>446</v>
      </c>
      <c r="B37" s="5" t="s">
        <v>456</v>
      </c>
      <c r="C37" s="6" t="s">
        <v>457</v>
      </c>
      <c r="D37" s="6" t="s">
        <v>75</v>
      </c>
      <c r="E37" s="6" t="s">
        <v>449</v>
      </c>
      <c r="F37" s="6" t="s">
        <v>80</v>
      </c>
      <c r="G37" s="6" t="s">
        <v>459</v>
      </c>
      <c r="H37" s="6" t="s">
        <v>460</v>
      </c>
      <c r="I37" s="6" t="s">
        <v>461</v>
      </c>
      <c r="J37" s="13" t="s">
        <v>462</v>
      </c>
      <c r="K37" s="15" t="s">
        <v>463</v>
      </c>
      <c r="L37" s="6" t="s">
        <v>464</v>
      </c>
      <c r="M37" s="7" t="s">
        <v>20</v>
      </c>
    </row>
    <row r="38" ht="57.75" customHeight="1">
      <c r="A38" s="4" t="s">
        <v>446</v>
      </c>
      <c r="B38" s="5" t="s">
        <v>465</v>
      </c>
      <c r="C38" s="6" t="s">
        <v>466</v>
      </c>
      <c r="D38" s="6" t="s">
        <v>75</v>
      </c>
      <c r="E38" s="6" t="s">
        <v>449</v>
      </c>
      <c r="F38" s="6" t="s">
        <v>80</v>
      </c>
      <c r="G38" s="6" t="s">
        <v>468</v>
      </c>
      <c r="H38" s="6" t="s">
        <v>469</v>
      </c>
      <c r="I38" s="6" t="s">
        <v>470</v>
      </c>
      <c r="J38" s="13" t="s">
        <v>471</v>
      </c>
      <c r="K38" s="15" t="s">
        <v>472</v>
      </c>
      <c r="L38" s="6" t="s">
        <v>473</v>
      </c>
      <c r="M38" s="7" t="s">
        <v>20</v>
      </c>
    </row>
    <row r="39" ht="57.75" customHeight="1">
      <c r="A39" s="4" t="s">
        <v>446</v>
      </c>
      <c r="B39" s="5" t="s">
        <v>474</v>
      </c>
      <c r="C39" s="6" t="s">
        <v>475</v>
      </c>
      <c r="D39" s="6" t="s">
        <v>75</v>
      </c>
      <c r="E39" s="6" t="s">
        <v>449</v>
      </c>
      <c r="F39" s="6" t="s">
        <v>80</v>
      </c>
      <c r="G39" s="6" t="s">
        <v>476</v>
      </c>
      <c r="H39" s="6" t="s">
        <v>477</v>
      </c>
      <c r="I39" s="6" t="s">
        <v>478</v>
      </c>
      <c r="J39" s="13" t="s">
        <v>479</v>
      </c>
      <c r="K39" s="15" t="s">
        <v>481</v>
      </c>
      <c r="L39" s="6" t="s">
        <v>482</v>
      </c>
      <c r="M39" s="7" t="s">
        <v>20</v>
      </c>
    </row>
    <row r="40" ht="57.75" customHeight="1">
      <c r="A40" s="4" t="s">
        <v>446</v>
      </c>
      <c r="B40" s="5" t="s">
        <v>483</v>
      </c>
      <c r="C40" s="6" t="s">
        <v>484</v>
      </c>
      <c r="D40" s="6" t="s">
        <v>75</v>
      </c>
      <c r="E40" s="6" t="s">
        <v>449</v>
      </c>
      <c r="F40" s="6" t="s">
        <v>80</v>
      </c>
      <c r="G40" s="6" t="s">
        <v>486</v>
      </c>
      <c r="H40" s="6" t="s">
        <v>487</v>
      </c>
      <c r="I40" s="6" t="s">
        <v>488</v>
      </c>
      <c r="J40" s="13" t="s">
        <v>489</v>
      </c>
      <c r="K40" s="15" t="s">
        <v>163</v>
      </c>
      <c r="L40" s="6" t="s">
        <v>490</v>
      </c>
      <c r="M40" s="7" t="s">
        <v>20</v>
      </c>
    </row>
    <row r="41" ht="57.75" customHeight="1">
      <c r="A41" s="4" t="s">
        <v>446</v>
      </c>
      <c r="B41" s="5" t="s">
        <v>491</v>
      </c>
      <c r="C41" s="6" t="s">
        <v>492</v>
      </c>
      <c r="D41" s="6" t="s">
        <v>75</v>
      </c>
      <c r="E41" s="6" t="s">
        <v>449</v>
      </c>
      <c r="F41" s="6" t="s">
        <v>80</v>
      </c>
      <c r="G41" s="6" t="s">
        <v>295</v>
      </c>
      <c r="H41" s="6" t="s">
        <v>230</v>
      </c>
      <c r="I41" s="6" t="s">
        <v>232</v>
      </c>
      <c r="J41" s="13" t="s">
        <v>180</v>
      </c>
      <c r="K41" s="15" t="s">
        <v>181</v>
      </c>
      <c r="L41" s="6" t="s">
        <v>182</v>
      </c>
      <c r="M41" s="7" t="s">
        <v>20</v>
      </c>
    </row>
    <row r="42" ht="57.75" customHeight="1">
      <c r="A42" s="4" t="s">
        <v>496</v>
      </c>
      <c r="B42" s="5" t="s">
        <v>498</v>
      </c>
      <c r="C42" s="6" t="s">
        <v>499</v>
      </c>
      <c r="D42" s="6" t="s">
        <v>75</v>
      </c>
      <c r="E42" s="6" t="s">
        <v>500</v>
      </c>
      <c r="F42" s="6" t="s">
        <v>80</v>
      </c>
      <c r="G42" s="6" t="s">
        <v>501</v>
      </c>
      <c r="H42" s="6" t="s">
        <v>503</v>
      </c>
      <c r="I42" s="6" t="s">
        <v>504</v>
      </c>
      <c r="J42" s="13" t="s">
        <v>505</v>
      </c>
      <c r="K42" s="15" t="s">
        <v>506</v>
      </c>
      <c r="L42" s="6" t="s">
        <v>508</v>
      </c>
      <c r="M42" s="7" t="s">
        <v>20</v>
      </c>
    </row>
    <row r="43" ht="57.75" customHeight="1">
      <c r="A43" s="4" t="s">
        <v>496</v>
      </c>
      <c r="B43" s="5" t="s">
        <v>510</v>
      </c>
      <c r="C43" s="6" t="s">
        <v>512</v>
      </c>
      <c r="D43" s="6" t="s">
        <v>75</v>
      </c>
      <c r="E43" s="6" t="s">
        <v>500</v>
      </c>
      <c r="F43" s="6" t="s">
        <v>80</v>
      </c>
      <c r="G43" s="6" t="s">
        <v>513</v>
      </c>
      <c r="H43" s="6" t="s">
        <v>514</v>
      </c>
      <c r="I43" s="6" t="s">
        <v>515</v>
      </c>
      <c r="J43" s="13" t="s">
        <v>516</v>
      </c>
      <c r="K43" s="15" t="s">
        <v>518</v>
      </c>
      <c r="L43" s="6" t="s">
        <v>520</v>
      </c>
      <c r="M43" s="7" t="s">
        <v>20</v>
      </c>
    </row>
    <row r="44" ht="57.75" customHeight="1">
      <c r="A44" s="4" t="s">
        <v>496</v>
      </c>
      <c r="B44" s="5" t="s">
        <v>523</v>
      </c>
      <c r="C44" s="6" t="s">
        <v>524</v>
      </c>
      <c r="D44" s="6" t="s">
        <v>75</v>
      </c>
      <c r="E44" s="6" t="s">
        <v>500</v>
      </c>
      <c r="F44" s="6" t="s">
        <v>391</v>
      </c>
      <c r="G44" s="6" t="s">
        <v>526</v>
      </c>
      <c r="H44" s="6" t="s">
        <v>529</v>
      </c>
      <c r="I44" s="6" t="s">
        <v>532</v>
      </c>
      <c r="J44" s="13" t="s">
        <v>534</v>
      </c>
      <c r="K44" s="15" t="s">
        <v>535</v>
      </c>
      <c r="L44" s="6" t="s">
        <v>536</v>
      </c>
      <c r="M44" s="7" t="s">
        <v>20</v>
      </c>
    </row>
    <row r="45" ht="57.75" customHeight="1">
      <c r="A45" s="4" t="s">
        <v>496</v>
      </c>
      <c r="B45" s="5" t="s">
        <v>539</v>
      </c>
      <c r="C45" s="6" t="s">
        <v>542</v>
      </c>
      <c r="D45" s="6" t="s">
        <v>75</v>
      </c>
      <c r="E45" s="6" t="s">
        <v>500</v>
      </c>
      <c r="F45" s="6" t="s">
        <v>80</v>
      </c>
      <c r="G45" s="6" t="s">
        <v>548</v>
      </c>
      <c r="H45" s="6" t="s">
        <v>549</v>
      </c>
      <c r="I45" s="6" t="s">
        <v>550</v>
      </c>
      <c r="J45" s="13" t="s">
        <v>551</v>
      </c>
      <c r="K45" s="15" t="s">
        <v>553</v>
      </c>
      <c r="L45" s="6" t="s">
        <v>555</v>
      </c>
      <c r="M45" s="7" t="s">
        <v>20</v>
      </c>
    </row>
    <row r="46" ht="57.75" customHeight="1">
      <c r="A46" s="4" t="s">
        <v>496</v>
      </c>
      <c r="B46" s="5" t="s">
        <v>556</v>
      </c>
      <c r="C46" s="6" t="s">
        <v>558</v>
      </c>
      <c r="D46" s="6" t="s">
        <v>75</v>
      </c>
      <c r="E46" s="6" t="s">
        <v>500</v>
      </c>
      <c r="F46" s="6" t="s">
        <v>80</v>
      </c>
      <c r="G46" s="6" t="s">
        <v>560</v>
      </c>
      <c r="H46" s="6" t="s">
        <v>562</v>
      </c>
      <c r="I46" s="6" t="s">
        <v>563</v>
      </c>
      <c r="J46" s="13" t="s">
        <v>566</v>
      </c>
      <c r="K46" s="15" t="s">
        <v>568</v>
      </c>
      <c r="L46" s="6" t="s">
        <v>569</v>
      </c>
      <c r="M46" s="7" t="s">
        <v>20</v>
      </c>
    </row>
    <row r="47" ht="57.75" customHeight="1">
      <c r="A47" s="4" t="s">
        <v>496</v>
      </c>
      <c r="B47" s="5" t="s">
        <v>572</v>
      </c>
      <c r="C47" s="6" t="s">
        <v>574</v>
      </c>
      <c r="D47" s="6" t="s">
        <v>75</v>
      </c>
      <c r="E47" s="6" t="s">
        <v>500</v>
      </c>
      <c r="F47" s="6" t="s">
        <v>80</v>
      </c>
      <c r="G47" s="6" t="s">
        <v>295</v>
      </c>
      <c r="H47" s="6" t="s">
        <v>230</v>
      </c>
      <c r="I47" s="6" t="s">
        <v>232</v>
      </c>
      <c r="J47" s="13" t="s">
        <v>180</v>
      </c>
      <c r="K47" s="15" t="s">
        <v>181</v>
      </c>
      <c r="L47" s="6" t="s">
        <v>182</v>
      </c>
      <c r="M47" s="7" t="s">
        <v>20</v>
      </c>
    </row>
    <row r="48" ht="57.75" customHeight="1">
      <c r="A48" s="4" t="s">
        <v>581</v>
      </c>
      <c r="B48" s="5" t="s">
        <v>583</v>
      </c>
      <c r="C48" s="6" t="s">
        <v>585</v>
      </c>
      <c r="D48" s="6" t="s">
        <v>75</v>
      </c>
      <c r="E48" s="6" t="s">
        <v>586</v>
      </c>
      <c r="F48" s="6" t="s">
        <v>80</v>
      </c>
      <c r="G48" s="6" t="s">
        <v>588</v>
      </c>
      <c r="H48" s="6" t="s">
        <v>589</v>
      </c>
      <c r="I48" s="6" t="s">
        <v>590</v>
      </c>
      <c r="J48" s="13" t="s">
        <v>591</v>
      </c>
      <c r="K48" s="15" t="s">
        <v>163</v>
      </c>
      <c r="L48" s="6" t="s">
        <v>594</v>
      </c>
      <c r="M48" s="7" t="s">
        <v>20</v>
      </c>
    </row>
    <row r="49" ht="57.75" customHeight="1">
      <c r="A49" s="4" t="s">
        <v>581</v>
      </c>
      <c r="B49" s="5" t="s">
        <v>597</v>
      </c>
      <c r="C49" s="6" t="s">
        <v>599</v>
      </c>
      <c r="D49" s="6" t="s">
        <v>75</v>
      </c>
      <c r="E49" s="6" t="s">
        <v>586</v>
      </c>
      <c r="F49" s="6" t="s">
        <v>80</v>
      </c>
      <c r="G49" s="6" t="s">
        <v>601</v>
      </c>
      <c r="H49" s="6" t="s">
        <v>602</v>
      </c>
      <c r="I49" s="6" t="s">
        <v>603</v>
      </c>
      <c r="J49" s="13" t="s">
        <v>605</v>
      </c>
      <c r="K49" s="15" t="s">
        <v>606</v>
      </c>
      <c r="L49" s="6" t="s">
        <v>607</v>
      </c>
      <c r="M49" s="7" t="s">
        <v>20</v>
      </c>
    </row>
    <row r="50" ht="57.75" customHeight="1">
      <c r="A50" s="4" t="s">
        <v>581</v>
      </c>
      <c r="B50" s="5" t="s">
        <v>609</v>
      </c>
      <c r="C50" s="6" t="s">
        <v>612</v>
      </c>
      <c r="D50" s="6" t="s">
        <v>75</v>
      </c>
      <c r="E50" s="6" t="s">
        <v>586</v>
      </c>
      <c r="F50" s="6" t="s">
        <v>80</v>
      </c>
      <c r="G50" s="6" t="s">
        <v>613</v>
      </c>
      <c r="H50" s="6" t="s">
        <v>614</v>
      </c>
      <c r="I50" s="6" t="s">
        <v>616</v>
      </c>
      <c r="J50" s="13" t="s">
        <v>619</v>
      </c>
      <c r="K50" s="15" t="s">
        <v>620</v>
      </c>
      <c r="L50" s="6" t="s">
        <v>622</v>
      </c>
      <c r="M50" s="7" t="s">
        <v>20</v>
      </c>
    </row>
    <row r="51" ht="57.75" customHeight="1">
      <c r="A51" s="4" t="s">
        <v>581</v>
      </c>
      <c r="B51" s="5" t="s">
        <v>625</v>
      </c>
      <c r="C51" s="6" t="s">
        <v>626</v>
      </c>
      <c r="D51" s="6" t="s">
        <v>75</v>
      </c>
      <c r="E51" s="6" t="s">
        <v>629</v>
      </c>
      <c r="F51" s="6" t="s">
        <v>80</v>
      </c>
      <c r="G51" s="6" t="s">
        <v>631</v>
      </c>
      <c r="H51" s="6" t="s">
        <v>632</v>
      </c>
      <c r="I51" s="6" t="s">
        <v>633</v>
      </c>
      <c r="J51" s="13" t="s">
        <v>634</v>
      </c>
      <c r="K51" s="15" t="s">
        <v>163</v>
      </c>
      <c r="L51" s="6" t="s">
        <v>635</v>
      </c>
      <c r="M51" s="7" t="s">
        <v>20</v>
      </c>
    </row>
    <row r="52" ht="57.75" customHeight="1">
      <c r="A52" s="4" t="s">
        <v>581</v>
      </c>
      <c r="B52" s="5" t="s">
        <v>637</v>
      </c>
      <c r="C52" s="6" t="s">
        <v>638</v>
      </c>
      <c r="D52" s="6" t="s">
        <v>75</v>
      </c>
      <c r="E52" s="6" t="s">
        <v>640</v>
      </c>
      <c r="F52" s="6" t="s">
        <v>80</v>
      </c>
      <c r="G52" s="6" t="s">
        <v>641</v>
      </c>
      <c r="H52" s="6" t="s">
        <v>642</v>
      </c>
      <c r="I52" s="6" t="s">
        <v>645</v>
      </c>
      <c r="J52" s="13" t="s">
        <v>646</v>
      </c>
      <c r="K52" s="15" t="s">
        <v>647</v>
      </c>
      <c r="L52" s="6" t="s">
        <v>648</v>
      </c>
      <c r="M52" s="7" t="s">
        <v>20</v>
      </c>
    </row>
    <row r="53" ht="57.75" customHeight="1">
      <c r="A53" s="4" t="s">
        <v>581</v>
      </c>
      <c r="B53" s="5" t="s">
        <v>651</v>
      </c>
      <c r="C53" s="6" t="s">
        <v>652</v>
      </c>
      <c r="D53" s="6" t="s">
        <v>75</v>
      </c>
      <c r="E53" s="6" t="s">
        <v>586</v>
      </c>
      <c r="F53" s="6" t="s">
        <v>80</v>
      </c>
      <c r="G53" s="6" t="s">
        <v>653</v>
      </c>
      <c r="H53" s="6" t="s">
        <v>656</v>
      </c>
      <c r="I53" s="6" t="s">
        <v>657</v>
      </c>
      <c r="J53" s="13" t="s">
        <v>659</v>
      </c>
      <c r="K53" s="15" t="s">
        <v>661</v>
      </c>
      <c r="L53" s="6" t="s">
        <v>662</v>
      </c>
      <c r="M53" s="7" t="s">
        <v>20</v>
      </c>
    </row>
    <row r="54" ht="57.75" customHeight="1">
      <c r="A54" s="4" t="s">
        <v>581</v>
      </c>
      <c r="B54" s="5" t="s">
        <v>666</v>
      </c>
      <c r="C54" s="6" t="s">
        <v>668</v>
      </c>
      <c r="D54" s="6" t="s">
        <v>75</v>
      </c>
      <c r="E54" s="6" t="s">
        <v>586</v>
      </c>
      <c r="F54" s="6" t="s">
        <v>80</v>
      </c>
      <c r="G54" s="6" t="s">
        <v>295</v>
      </c>
      <c r="H54" s="6" t="s">
        <v>230</v>
      </c>
      <c r="I54" s="6" t="s">
        <v>232</v>
      </c>
      <c r="J54" s="13" t="s">
        <v>180</v>
      </c>
      <c r="K54" s="15" t="s">
        <v>181</v>
      </c>
      <c r="L54" s="6" t="s">
        <v>182</v>
      </c>
      <c r="M54" s="7" t="s">
        <v>20</v>
      </c>
    </row>
    <row r="55" ht="57.75" customHeight="1">
      <c r="A55" s="4" t="s">
        <v>567</v>
      </c>
      <c r="B55" s="5" t="s">
        <v>118</v>
      </c>
      <c r="C55" s="6" t="s">
        <v>673</v>
      </c>
      <c r="D55" s="6" t="s">
        <v>75</v>
      </c>
      <c r="E55" s="6" t="s">
        <v>675</v>
      </c>
      <c r="F55" s="6" t="s">
        <v>80</v>
      </c>
      <c r="G55" s="6" t="s">
        <v>678</v>
      </c>
      <c r="H55" s="6" t="s">
        <v>681</v>
      </c>
      <c r="I55" s="6" t="s">
        <v>682</v>
      </c>
      <c r="J55" s="13" t="s">
        <v>683</v>
      </c>
      <c r="K55" s="15" t="s">
        <v>684</v>
      </c>
      <c r="L55" s="6" t="s">
        <v>686</v>
      </c>
      <c r="M55" s="7" t="s">
        <v>20</v>
      </c>
    </row>
    <row r="56" ht="57.75" customHeight="1">
      <c r="A56" s="4" t="s">
        <v>567</v>
      </c>
      <c r="B56" s="5" t="s">
        <v>690</v>
      </c>
      <c r="C56" s="6" t="s">
        <v>691</v>
      </c>
      <c r="D56" s="6" t="s">
        <v>75</v>
      </c>
      <c r="E56" s="6" t="s">
        <v>692</v>
      </c>
      <c r="F56" s="6" t="s">
        <v>80</v>
      </c>
      <c r="G56" s="6" t="s">
        <v>693</v>
      </c>
      <c r="H56" s="6" t="s">
        <v>694</v>
      </c>
      <c r="I56" s="6" t="s">
        <v>695</v>
      </c>
      <c r="J56" s="13" t="s">
        <v>696</v>
      </c>
      <c r="K56" s="15" t="s">
        <v>163</v>
      </c>
      <c r="L56" s="6" t="s">
        <v>698</v>
      </c>
      <c r="M56" s="7" t="s">
        <v>20</v>
      </c>
    </row>
    <row r="57" ht="57.75" customHeight="1">
      <c r="A57" s="4" t="s">
        <v>567</v>
      </c>
      <c r="B57" s="5" t="s">
        <v>704</v>
      </c>
      <c r="C57" s="6" t="s">
        <v>706</v>
      </c>
      <c r="D57" s="6" t="s">
        <v>75</v>
      </c>
      <c r="E57" s="6" t="s">
        <v>692</v>
      </c>
      <c r="F57" s="6" t="s">
        <v>80</v>
      </c>
      <c r="G57" s="6" t="s">
        <v>709</v>
      </c>
      <c r="H57" s="6" t="s">
        <v>710</v>
      </c>
      <c r="I57" s="6" t="s">
        <v>712</v>
      </c>
      <c r="J57" s="13" t="s">
        <v>713</v>
      </c>
      <c r="K57" s="15" t="s">
        <v>715</v>
      </c>
      <c r="L57" s="6" t="s">
        <v>716</v>
      </c>
      <c r="M57" s="7" t="s">
        <v>20</v>
      </c>
    </row>
    <row r="58" ht="57.75" customHeight="1">
      <c r="A58" s="4" t="s">
        <v>567</v>
      </c>
      <c r="B58" s="5" t="s">
        <v>718</v>
      </c>
      <c r="C58" s="6" t="s">
        <v>720</v>
      </c>
      <c r="D58" s="6" t="s">
        <v>75</v>
      </c>
      <c r="E58" s="6" t="s">
        <v>692</v>
      </c>
      <c r="F58" s="6" t="s">
        <v>80</v>
      </c>
      <c r="G58" s="6" t="s">
        <v>295</v>
      </c>
      <c r="H58" s="6" t="s">
        <v>230</v>
      </c>
      <c r="I58" s="6" t="s">
        <v>232</v>
      </c>
      <c r="J58" s="13" t="s">
        <v>180</v>
      </c>
      <c r="K58" s="15" t="s">
        <v>181</v>
      </c>
      <c r="L58" s="6" t="s">
        <v>182</v>
      </c>
      <c r="M58" s="7" t="s">
        <v>20</v>
      </c>
    </row>
    <row r="59" ht="57.75" customHeight="1">
      <c r="A59" s="4" t="s">
        <v>130</v>
      </c>
      <c r="B59" s="5" t="s">
        <v>579</v>
      </c>
      <c r="C59" s="6" t="s">
        <v>726</v>
      </c>
      <c r="D59" s="6" t="s">
        <v>728</v>
      </c>
      <c r="E59" s="6" t="s">
        <v>729</v>
      </c>
      <c r="F59" s="6" t="s">
        <v>80</v>
      </c>
      <c r="G59" s="6" t="s">
        <v>732</v>
      </c>
      <c r="H59" s="6" t="s">
        <v>733</v>
      </c>
      <c r="I59" s="6" t="s">
        <v>734</v>
      </c>
      <c r="J59" s="13" t="s">
        <v>736</v>
      </c>
      <c r="K59" s="15" t="s">
        <v>205</v>
      </c>
      <c r="L59" s="6" t="s">
        <v>737</v>
      </c>
      <c r="M59" s="7" t="s">
        <v>80</v>
      </c>
    </row>
    <row r="60" ht="57.75" customHeight="1">
      <c r="A60" s="4" t="s">
        <v>130</v>
      </c>
      <c r="B60" s="5" t="s">
        <v>680</v>
      </c>
      <c r="C60" s="6" t="s">
        <v>740</v>
      </c>
      <c r="D60" s="6" t="s">
        <v>728</v>
      </c>
      <c r="E60" s="6" t="s">
        <v>729</v>
      </c>
      <c r="F60" s="6" t="s">
        <v>80</v>
      </c>
      <c r="G60" s="6" t="s">
        <v>744</v>
      </c>
      <c r="H60" s="6" t="s">
        <v>745</v>
      </c>
      <c r="I60" s="6" t="s">
        <v>747</v>
      </c>
      <c r="J60" s="13" t="s">
        <v>749</v>
      </c>
      <c r="K60" s="15" t="s">
        <v>205</v>
      </c>
      <c r="L60" s="6" t="s">
        <v>751</v>
      </c>
      <c r="M60" s="7" t="s">
        <v>80</v>
      </c>
    </row>
    <row r="61" ht="57.75" customHeight="1">
      <c r="A61" s="4" t="s">
        <v>130</v>
      </c>
      <c r="B61" s="5" t="s">
        <v>753</v>
      </c>
      <c r="C61" s="6" t="s">
        <v>756</v>
      </c>
      <c r="D61" s="6" t="s">
        <v>757</v>
      </c>
      <c r="E61" s="6" t="s">
        <v>758</v>
      </c>
      <c r="F61" s="6" t="s">
        <v>30</v>
      </c>
      <c r="G61" s="6" t="s">
        <v>759</v>
      </c>
      <c r="H61" s="6" t="s">
        <v>763</v>
      </c>
      <c r="I61" s="6" t="s">
        <v>764</v>
      </c>
      <c r="J61" s="13" t="s">
        <v>765</v>
      </c>
      <c r="K61" s="15" t="s">
        <v>767</v>
      </c>
      <c r="L61" s="6" t="s">
        <v>768</v>
      </c>
      <c r="M61" s="7" t="s">
        <v>80</v>
      </c>
    </row>
    <row r="62" ht="57.75" customHeight="1">
      <c r="A62" s="4" t="s">
        <v>130</v>
      </c>
      <c r="B62" s="5" t="s">
        <v>769</v>
      </c>
      <c r="C62" s="6" t="s">
        <v>770</v>
      </c>
      <c r="D62" s="6" t="s">
        <v>728</v>
      </c>
      <c r="E62" s="6" t="s">
        <v>771</v>
      </c>
      <c r="F62" s="6" t="s">
        <v>80</v>
      </c>
      <c r="G62" s="6" t="s">
        <v>773</v>
      </c>
      <c r="H62" s="6" t="s">
        <v>774</v>
      </c>
      <c r="I62" s="6" t="s">
        <v>775</v>
      </c>
      <c r="J62" s="13" t="s">
        <v>776</v>
      </c>
      <c r="K62" s="15" t="s">
        <v>777</v>
      </c>
      <c r="L62" s="6" t="s">
        <v>780</v>
      </c>
      <c r="M62" s="7" t="s">
        <v>80</v>
      </c>
    </row>
    <row r="63" ht="57.75" customHeight="1">
      <c r="A63" s="4" t="s">
        <v>130</v>
      </c>
      <c r="B63" s="5" t="s">
        <v>782</v>
      </c>
      <c r="C63" s="6" t="s">
        <v>783</v>
      </c>
      <c r="D63" s="6" t="s">
        <v>728</v>
      </c>
      <c r="E63" s="6" t="s">
        <v>729</v>
      </c>
      <c r="F63" s="6" t="s">
        <v>80</v>
      </c>
      <c r="G63" s="6" t="s">
        <v>295</v>
      </c>
      <c r="H63" s="6" t="s">
        <v>230</v>
      </c>
      <c r="I63" s="6" t="s">
        <v>232</v>
      </c>
      <c r="J63" s="13" t="s">
        <v>180</v>
      </c>
      <c r="K63" s="15" t="s">
        <v>181</v>
      </c>
      <c r="L63" s="6" t="s">
        <v>182</v>
      </c>
      <c r="M63" s="7" t="s">
        <v>80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63"/>
  <printOptions/>
  <pageMargins bottom="1.0" footer="0.0" header="0.0" left="0.75" right="0.75" top="1.0"/>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2.0"/>
    <col customWidth="1" min="3" max="3" width="68.0"/>
    <col customWidth="1" min="4" max="4" width="34.0"/>
    <col customWidth="1" min="5" max="6" width="8.71"/>
    <col customWidth="1" min="7" max="26" width="14.0"/>
  </cols>
  <sheetData>
    <row r="1" ht="30.0" customHeight="1">
      <c r="A1" s="2" t="s">
        <v>1</v>
      </c>
      <c r="B1" s="2" t="s">
        <v>3</v>
      </c>
      <c r="C1" s="2" t="s">
        <v>4</v>
      </c>
      <c r="D1" s="2" t="s">
        <v>5</v>
      </c>
    </row>
    <row r="2" ht="25.5" customHeight="1">
      <c r="A2" s="5" t="s">
        <v>7</v>
      </c>
      <c r="B2" s="7" t="s">
        <v>9</v>
      </c>
      <c r="C2" s="6" t="s">
        <v>11</v>
      </c>
      <c r="D2" s="9" t="s">
        <v>15</v>
      </c>
    </row>
    <row r="3" ht="25.5" customHeight="1">
      <c r="A3" s="5" t="s">
        <v>22</v>
      </c>
      <c r="B3" s="7" t="s">
        <v>24</v>
      </c>
      <c r="C3" s="6" t="s">
        <v>28</v>
      </c>
      <c r="D3" s="9" t="s">
        <v>30</v>
      </c>
    </row>
    <row r="4" ht="25.5" customHeight="1">
      <c r="A4" s="5" t="s">
        <v>35</v>
      </c>
      <c r="B4" s="7" t="s">
        <v>24</v>
      </c>
      <c r="C4" s="6" t="s">
        <v>40</v>
      </c>
      <c r="D4" s="9" t="s">
        <v>42</v>
      </c>
    </row>
    <row r="5" ht="25.5" customHeight="1">
      <c r="A5" s="5" t="s">
        <v>47</v>
      </c>
      <c r="B5" s="7" t="s">
        <v>24</v>
      </c>
      <c r="C5" s="6" t="s">
        <v>61</v>
      </c>
      <c r="D5" s="9" t="s">
        <v>63</v>
      </c>
    </row>
    <row r="6" ht="25.5" customHeight="1">
      <c r="A6" s="5" t="s">
        <v>64</v>
      </c>
      <c r="B6" s="7" t="s">
        <v>24</v>
      </c>
      <c r="C6" s="6" t="s">
        <v>66</v>
      </c>
      <c r="D6" s="9" t="s">
        <v>69</v>
      </c>
    </row>
    <row r="7" ht="25.5" customHeight="1">
      <c r="A7" s="5" t="s">
        <v>76</v>
      </c>
      <c r="B7" s="7" t="s">
        <v>9</v>
      </c>
      <c r="C7" s="6" t="s">
        <v>81</v>
      </c>
      <c r="D7" s="9" t="s">
        <v>85</v>
      </c>
    </row>
    <row r="8" ht="25.5" customHeight="1">
      <c r="A8" s="5" t="s">
        <v>90</v>
      </c>
      <c r="B8" s="7" t="s">
        <v>24</v>
      </c>
      <c r="C8" s="6" t="s">
        <v>91</v>
      </c>
      <c r="D8" s="9" t="s">
        <v>93</v>
      </c>
    </row>
    <row r="9" ht="25.5" customHeight="1">
      <c r="A9" s="5" t="s">
        <v>96</v>
      </c>
      <c r="B9" s="7" t="s">
        <v>24</v>
      </c>
      <c r="C9" s="6" t="s">
        <v>99</v>
      </c>
      <c r="D9" s="9" t="s">
        <v>100</v>
      </c>
    </row>
    <row r="10" ht="25.5" customHeight="1">
      <c r="A10" s="5" t="s">
        <v>103</v>
      </c>
      <c r="B10" s="7" t="s">
        <v>24</v>
      </c>
      <c r="C10" s="6" t="s">
        <v>104</v>
      </c>
      <c r="D10" s="9" t="s">
        <v>105</v>
      </c>
    </row>
    <row r="11" ht="25.5" customHeight="1">
      <c r="A11" s="5" t="s">
        <v>107</v>
      </c>
      <c r="B11" s="7" t="s">
        <v>17</v>
      </c>
      <c r="C11" s="6" t="s">
        <v>108</v>
      </c>
      <c r="D11" s="9" t="s">
        <v>109</v>
      </c>
    </row>
    <row r="12" ht="25.5" customHeight="1">
      <c r="A12" s="5" t="s">
        <v>110</v>
      </c>
      <c r="B12" s="7" t="s">
        <v>9</v>
      </c>
      <c r="C12" s="6" t="s">
        <v>112</v>
      </c>
      <c r="D12" s="9" t="s">
        <v>113</v>
      </c>
    </row>
    <row r="13" ht="25.5" customHeight="1">
      <c r="A13" s="5" t="s">
        <v>115</v>
      </c>
      <c r="B13" s="7" t="s">
        <v>24</v>
      </c>
      <c r="C13" s="6" t="s">
        <v>116</v>
      </c>
      <c r="D13" s="9" t="s">
        <v>117</v>
      </c>
    </row>
    <row r="14" ht="25.5" customHeight="1">
      <c r="A14" s="5" t="s">
        <v>119</v>
      </c>
      <c r="B14" s="7" t="s">
        <v>24</v>
      </c>
      <c r="C14" s="6" t="s">
        <v>124</v>
      </c>
      <c r="D14" s="9" t="s">
        <v>126</v>
      </c>
    </row>
    <row r="15" ht="25.5" customHeight="1">
      <c r="A15" s="5" t="s">
        <v>128</v>
      </c>
      <c r="B15" s="7" t="s">
        <v>24</v>
      </c>
      <c r="C15" s="6" t="s">
        <v>132</v>
      </c>
      <c r="D15" s="9" t="s">
        <v>126</v>
      </c>
    </row>
    <row r="16" ht="25.5" customHeight="1">
      <c r="A16" s="5" t="s">
        <v>137</v>
      </c>
      <c r="B16" s="7" t="s">
        <v>24</v>
      </c>
      <c r="C16" s="6" t="s">
        <v>142</v>
      </c>
      <c r="D16" s="9" t="s">
        <v>145</v>
      </c>
    </row>
    <row r="17" ht="25.5" customHeight="1">
      <c r="A17" s="5" t="s">
        <v>149</v>
      </c>
      <c r="B17" s="7" t="s">
        <v>150</v>
      </c>
      <c r="C17" s="6" t="s">
        <v>151</v>
      </c>
      <c r="D17" s="9" t="s">
        <v>153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13.0"/>
    <col customWidth="1" min="3" max="3" width="19.0"/>
    <col customWidth="1" min="4" max="4" width="34.0"/>
    <col customWidth="1" min="5" max="5" width="17.0"/>
    <col customWidth="1" min="6" max="6" width="16.0"/>
    <col customWidth="1" min="7" max="8" width="10.0"/>
    <col customWidth="1" min="9" max="9" width="52.0"/>
    <col customWidth="1" min="10" max="11" width="17.0"/>
    <col customWidth="1" min="12" max="12" width="13.0"/>
    <col customWidth="1" min="13" max="13" width="15.0"/>
    <col customWidth="1" min="14" max="14" width="22.0"/>
    <col customWidth="1" min="15" max="26" width="14.0"/>
  </cols>
  <sheetData>
    <row r="1" ht="31.5" customHeight="1">
      <c r="A1" s="2" t="s">
        <v>13</v>
      </c>
      <c r="B1" s="2" t="s">
        <v>17</v>
      </c>
      <c r="C1" s="2" t="s">
        <v>20</v>
      </c>
      <c r="D1" s="2" t="s">
        <v>26</v>
      </c>
      <c r="E1" s="2" t="s">
        <v>31</v>
      </c>
      <c r="F1" s="2" t="s">
        <v>34</v>
      </c>
      <c r="G1" s="2" t="s">
        <v>37</v>
      </c>
      <c r="H1" s="2" t="s">
        <v>44</v>
      </c>
      <c r="I1" s="2" t="s">
        <v>48</v>
      </c>
      <c r="J1" s="2" t="s">
        <v>51</v>
      </c>
      <c r="K1" s="2" t="s">
        <v>54</v>
      </c>
      <c r="L1" s="2" t="s">
        <v>56</v>
      </c>
      <c r="M1" s="2" t="s">
        <v>58</v>
      </c>
      <c r="N1" s="2" t="s">
        <v>60</v>
      </c>
    </row>
    <row r="2" ht="24.0" customHeight="1">
      <c r="A2" s="6" t="s">
        <v>30</v>
      </c>
      <c r="B2" s="6" t="s">
        <v>67</v>
      </c>
      <c r="C2" s="6" t="s">
        <v>68</v>
      </c>
      <c r="D2" s="6" t="s">
        <v>71</v>
      </c>
      <c r="E2" s="6" t="s">
        <v>74</v>
      </c>
      <c r="F2" s="6"/>
      <c r="G2" s="6" t="s">
        <v>78</v>
      </c>
      <c r="H2" s="6" t="s">
        <v>78</v>
      </c>
      <c r="I2" s="6" t="s">
        <v>84</v>
      </c>
      <c r="J2" s="12"/>
      <c r="K2" s="12"/>
      <c r="L2" s="12"/>
      <c r="M2" s="12"/>
      <c r="N2" s="12"/>
    </row>
    <row r="3" ht="24.0" customHeight="1">
      <c r="A3" s="6" t="s">
        <v>30</v>
      </c>
      <c r="B3" s="6" t="s">
        <v>67</v>
      </c>
      <c r="C3" s="6" t="s">
        <v>68</v>
      </c>
      <c r="D3" s="6" t="s">
        <v>71</v>
      </c>
      <c r="E3" s="6" t="s">
        <v>74</v>
      </c>
      <c r="F3" s="6"/>
      <c r="G3" s="6" t="s">
        <v>78</v>
      </c>
      <c r="H3" s="6" t="s">
        <v>78</v>
      </c>
      <c r="I3" s="6" t="s">
        <v>114</v>
      </c>
      <c r="J3" s="12"/>
      <c r="K3" s="12"/>
      <c r="L3" s="12"/>
      <c r="M3" s="12"/>
      <c r="N3" s="12"/>
    </row>
    <row r="4" ht="24.0" customHeight="1">
      <c r="A4" s="6" t="s">
        <v>30</v>
      </c>
      <c r="B4" s="6" t="s">
        <v>67</v>
      </c>
      <c r="C4" s="6" t="s">
        <v>68</v>
      </c>
      <c r="D4" s="6"/>
      <c r="E4" s="6" t="s">
        <v>120</v>
      </c>
      <c r="F4" s="6" t="s">
        <v>123</v>
      </c>
      <c r="G4" s="6" t="s">
        <v>78</v>
      </c>
      <c r="H4" s="6" t="s">
        <v>78</v>
      </c>
      <c r="I4" s="6"/>
      <c r="J4" s="12"/>
      <c r="K4" s="12"/>
      <c r="L4" s="12"/>
      <c r="M4" s="12"/>
      <c r="N4" s="12"/>
    </row>
    <row r="5" ht="24.0" customHeight="1">
      <c r="A5" s="6" t="s">
        <v>30</v>
      </c>
      <c r="B5" s="6" t="s">
        <v>67</v>
      </c>
      <c r="C5" s="6" t="s">
        <v>68</v>
      </c>
      <c r="D5" s="6"/>
      <c r="E5" s="6" t="s">
        <v>120</v>
      </c>
      <c r="F5" s="6" t="s">
        <v>134</v>
      </c>
      <c r="G5" s="6" t="s">
        <v>78</v>
      </c>
      <c r="H5" s="6" t="s">
        <v>78</v>
      </c>
      <c r="I5" s="6" t="s">
        <v>141</v>
      </c>
      <c r="J5" s="12"/>
      <c r="K5" s="12"/>
      <c r="L5" s="12"/>
      <c r="M5" s="12"/>
      <c r="N5" s="12"/>
    </row>
    <row r="6" ht="24.0" customHeight="1">
      <c r="A6" s="6" t="s">
        <v>30</v>
      </c>
      <c r="B6" s="6" t="s">
        <v>67</v>
      </c>
      <c r="C6" s="6" t="s">
        <v>68</v>
      </c>
      <c r="D6" s="6"/>
      <c r="E6" s="6" t="s">
        <v>120</v>
      </c>
      <c r="F6" s="6" t="s">
        <v>100</v>
      </c>
      <c r="G6" s="6" t="s">
        <v>78</v>
      </c>
      <c r="H6" s="6" t="s">
        <v>78</v>
      </c>
      <c r="I6" s="6" t="s">
        <v>156</v>
      </c>
      <c r="J6" s="12"/>
      <c r="K6" s="12"/>
      <c r="L6" s="12"/>
      <c r="M6" s="12"/>
      <c r="N6" s="12"/>
    </row>
    <row r="7" ht="24.0" customHeight="1">
      <c r="A7" s="6" t="s">
        <v>30</v>
      </c>
      <c r="B7" s="6" t="s">
        <v>160</v>
      </c>
      <c r="C7" s="6" t="s">
        <v>68</v>
      </c>
      <c r="D7" s="6" t="s">
        <v>162</v>
      </c>
      <c r="E7" s="6" t="s">
        <v>74</v>
      </c>
      <c r="F7" s="6"/>
      <c r="G7" s="6" t="s">
        <v>78</v>
      </c>
      <c r="H7" s="6" t="s">
        <v>78</v>
      </c>
      <c r="I7" s="6" t="s">
        <v>165</v>
      </c>
      <c r="J7" s="12"/>
      <c r="K7" s="12"/>
      <c r="L7" s="12"/>
      <c r="M7" s="12"/>
      <c r="N7" s="12"/>
    </row>
    <row r="8" ht="24.0" customHeight="1">
      <c r="A8" s="6" t="s">
        <v>30</v>
      </c>
      <c r="B8" s="6" t="s">
        <v>160</v>
      </c>
      <c r="C8" s="6" t="s">
        <v>68</v>
      </c>
      <c r="D8" s="6" t="s">
        <v>162</v>
      </c>
      <c r="E8" s="6" t="s">
        <v>74</v>
      </c>
      <c r="F8" s="6"/>
      <c r="G8" s="6" t="s">
        <v>78</v>
      </c>
      <c r="H8" s="6" t="s">
        <v>78</v>
      </c>
      <c r="I8" s="6" t="s">
        <v>173</v>
      </c>
      <c r="J8" s="12"/>
      <c r="K8" s="12"/>
      <c r="L8" s="12"/>
      <c r="M8" s="12"/>
      <c r="N8" s="12"/>
    </row>
    <row r="9" ht="24.0" customHeight="1">
      <c r="A9" s="6" t="s">
        <v>30</v>
      </c>
      <c r="B9" s="6" t="s">
        <v>160</v>
      </c>
      <c r="C9" s="6" t="s">
        <v>68</v>
      </c>
      <c r="D9" s="6" t="s">
        <v>162</v>
      </c>
      <c r="E9" s="6" t="s">
        <v>74</v>
      </c>
      <c r="F9" s="6"/>
      <c r="G9" s="6" t="s">
        <v>78</v>
      </c>
      <c r="H9" s="6" t="s">
        <v>78</v>
      </c>
      <c r="I9" s="6" t="s">
        <v>177</v>
      </c>
      <c r="J9" s="12"/>
      <c r="K9" s="12"/>
      <c r="L9" s="12"/>
      <c r="M9" s="12"/>
      <c r="N9" s="12"/>
    </row>
    <row r="10" ht="24.0" customHeight="1">
      <c r="A10" s="6" t="s">
        <v>30</v>
      </c>
      <c r="B10" s="6" t="s">
        <v>160</v>
      </c>
      <c r="C10" s="6" t="s">
        <v>68</v>
      </c>
      <c r="D10" s="6" t="s">
        <v>162</v>
      </c>
      <c r="E10" s="6" t="s">
        <v>74</v>
      </c>
      <c r="F10" s="6"/>
      <c r="G10" s="6" t="s">
        <v>78</v>
      </c>
      <c r="H10" s="6" t="s">
        <v>78</v>
      </c>
      <c r="I10" s="6" t="s">
        <v>188</v>
      </c>
      <c r="J10" s="12"/>
      <c r="K10" s="12"/>
      <c r="L10" s="12"/>
      <c r="M10" s="12"/>
      <c r="N10" s="12"/>
    </row>
    <row r="11" ht="24.0" customHeight="1">
      <c r="A11" s="6" t="s">
        <v>30</v>
      </c>
      <c r="B11" s="6" t="s">
        <v>160</v>
      </c>
      <c r="C11" s="6" t="s">
        <v>68</v>
      </c>
      <c r="D11" s="6" t="s">
        <v>162</v>
      </c>
      <c r="E11" s="6" t="s">
        <v>74</v>
      </c>
      <c r="F11" s="6"/>
      <c r="G11" s="6" t="s">
        <v>78</v>
      </c>
      <c r="H11" s="6" t="s">
        <v>78</v>
      </c>
      <c r="I11" s="6" t="s">
        <v>196</v>
      </c>
      <c r="J11" s="12"/>
      <c r="K11" s="12"/>
      <c r="L11" s="12"/>
      <c r="M11" s="12"/>
      <c r="N11" s="12"/>
    </row>
    <row r="12" ht="24.0" customHeight="1">
      <c r="A12" s="6" t="s">
        <v>30</v>
      </c>
      <c r="B12" s="6" t="s">
        <v>199</v>
      </c>
      <c r="C12" s="6" t="s">
        <v>68</v>
      </c>
      <c r="D12" s="6" t="s">
        <v>201</v>
      </c>
      <c r="E12" s="6" t="s">
        <v>93</v>
      </c>
      <c r="F12" s="6"/>
      <c r="G12" s="6" t="s">
        <v>78</v>
      </c>
      <c r="H12" s="6" t="s">
        <v>78</v>
      </c>
      <c r="I12" s="6"/>
      <c r="J12" s="12"/>
      <c r="K12" s="12"/>
      <c r="L12" s="12"/>
      <c r="M12" s="12"/>
      <c r="N12" s="12"/>
    </row>
    <row r="13" ht="24.0" customHeight="1">
      <c r="A13" s="6" t="s">
        <v>30</v>
      </c>
      <c r="B13" s="6" t="s">
        <v>208</v>
      </c>
      <c r="C13" s="6" t="s">
        <v>68</v>
      </c>
      <c r="D13" s="6" t="s">
        <v>210</v>
      </c>
      <c r="E13" s="6" t="s">
        <v>74</v>
      </c>
      <c r="F13" s="6"/>
      <c r="G13" s="6" t="s">
        <v>78</v>
      </c>
      <c r="H13" s="6" t="s">
        <v>78</v>
      </c>
      <c r="I13" s="6"/>
      <c r="J13" s="12"/>
      <c r="K13" s="12"/>
      <c r="L13" s="12"/>
      <c r="M13" s="12"/>
      <c r="N13" s="12"/>
    </row>
    <row r="14" ht="24.0" customHeight="1">
      <c r="A14" s="6" t="s">
        <v>30</v>
      </c>
      <c r="B14" s="6" t="s">
        <v>208</v>
      </c>
      <c r="C14" s="6" t="s">
        <v>68</v>
      </c>
      <c r="D14" s="6" t="s">
        <v>210</v>
      </c>
      <c r="E14" s="6" t="s">
        <v>93</v>
      </c>
      <c r="F14" s="6"/>
      <c r="G14" s="6" t="s">
        <v>78</v>
      </c>
      <c r="H14" s="6" t="s">
        <v>78</v>
      </c>
      <c r="I14" s="6"/>
      <c r="J14" s="12"/>
      <c r="K14" s="12"/>
      <c r="L14" s="12"/>
      <c r="M14" s="12"/>
      <c r="N14" s="12"/>
    </row>
    <row r="15" ht="24.0" customHeight="1">
      <c r="A15" s="6" t="s">
        <v>30</v>
      </c>
      <c r="B15" s="6" t="s">
        <v>222</v>
      </c>
      <c r="C15" s="6" t="s">
        <v>68</v>
      </c>
      <c r="D15" s="6"/>
      <c r="E15" s="6" t="s">
        <v>225</v>
      </c>
      <c r="F15" s="6"/>
      <c r="G15" s="6" t="s">
        <v>78</v>
      </c>
      <c r="H15" s="6" t="s">
        <v>78</v>
      </c>
      <c r="I15" s="6" t="s">
        <v>228</v>
      </c>
      <c r="J15" s="12"/>
      <c r="K15" s="12"/>
      <c r="L15" s="12"/>
      <c r="M15" s="12"/>
      <c r="N15" s="12"/>
    </row>
    <row r="16" ht="24.0" customHeight="1">
      <c r="A16" s="6" t="s">
        <v>30</v>
      </c>
      <c r="B16" s="6" t="s">
        <v>231</v>
      </c>
      <c r="C16" s="6" t="s">
        <v>233</v>
      </c>
      <c r="D16" s="6"/>
      <c r="E16" s="6" t="s">
        <v>120</v>
      </c>
      <c r="F16" s="6" t="s">
        <v>234</v>
      </c>
      <c r="G16" s="6" t="s">
        <v>78</v>
      </c>
      <c r="H16" s="6" t="s">
        <v>78</v>
      </c>
      <c r="I16" s="6" t="s">
        <v>235</v>
      </c>
      <c r="J16" s="12"/>
      <c r="K16" s="12"/>
      <c r="L16" s="12"/>
      <c r="M16" s="12"/>
      <c r="N16" s="12"/>
    </row>
    <row r="17" ht="24.0" customHeight="1">
      <c r="A17" s="6" t="s">
        <v>30</v>
      </c>
      <c r="B17" s="6" t="s">
        <v>241</v>
      </c>
      <c r="C17" s="6" t="s">
        <v>233</v>
      </c>
      <c r="D17" s="6" t="s">
        <v>244</v>
      </c>
      <c r="E17" s="6" t="s">
        <v>93</v>
      </c>
      <c r="F17" s="6"/>
      <c r="G17" s="6" t="s">
        <v>78</v>
      </c>
      <c r="H17" s="6" t="s">
        <v>78</v>
      </c>
      <c r="I17" s="6" t="s">
        <v>249</v>
      </c>
      <c r="J17" s="12"/>
      <c r="K17" s="12"/>
      <c r="L17" s="12"/>
      <c r="M17" s="12"/>
      <c r="N17" s="12"/>
    </row>
    <row r="18" ht="24.0" customHeight="1">
      <c r="A18" s="6" t="s">
        <v>30</v>
      </c>
      <c r="B18" s="6" t="s">
        <v>252</v>
      </c>
      <c r="C18" s="6" t="s">
        <v>233</v>
      </c>
      <c r="D18" s="6" t="s">
        <v>253</v>
      </c>
      <c r="E18" s="6" t="s">
        <v>93</v>
      </c>
      <c r="F18" s="6"/>
      <c r="G18" s="6" t="s">
        <v>78</v>
      </c>
      <c r="H18" s="6" t="s">
        <v>78</v>
      </c>
      <c r="I18" s="6" t="s">
        <v>255</v>
      </c>
      <c r="J18" s="12"/>
      <c r="K18" s="12"/>
      <c r="L18" s="12"/>
      <c r="M18" s="12"/>
      <c r="N18" s="12"/>
    </row>
    <row r="19" ht="24.0" customHeight="1">
      <c r="A19" s="6" t="s">
        <v>30</v>
      </c>
      <c r="B19" s="6" t="s">
        <v>261</v>
      </c>
      <c r="C19" s="6" t="s">
        <v>42</v>
      </c>
      <c r="D19" s="6"/>
      <c r="E19" s="6" t="s">
        <v>225</v>
      </c>
      <c r="F19" s="6"/>
      <c r="G19" s="6" t="s">
        <v>78</v>
      </c>
      <c r="H19" s="6" t="s">
        <v>78</v>
      </c>
      <c r="I19" s="6" t="s">
        <v>264</v>
      </c>
      <c r="J19" s="12"/>
      <c r="K19" s="12"/>
      <c r="L19" s="12"/>
      <c r="M19" s="12"/>
      <c r="N19" s="12"/>
    </row>
    <row r="20" ht="24.0" customHeight="1">
      <c r="A20" s="6" t="s">
        <v>30</v>
      </c>
      <c r="B20" s="6" t="s">
        <v>268</v>
      </c>
      <c r="C20" s="6" t="s">
        <v>42</v>
      </c>
      <c r="D20" s="6"/>
      <c r="E20" s="6" t="s">
        <v>120</v>
      </c>
      <c r="F20" s="6" t="s">
        <v>234</v>
      </c>
      <c r="G20" s="6" t="s">
        <v>78</v>
      </c>
      <c r="H20" s="6" t="s">
        <v>78</v>
      </c>
      <c r="I20" s="6" t="s">
        <v>272</v>
      </c>
      <c r="J20" s="12"/>
      <c r="K20" s="12"/>
      <c r="L20" s="12"/>
      <c r="M20" s="12"/>
      <c r="N20" s="12"/>
    </row>
    <row r="21" ht="24.0" customHeight="1">
      <c r="A21" s="6" t="s">
        <v>30</v>
      </c>
      <c r="B21" s="6" t="s">
        <v>268</v>
      </c>
      <c r="C21" s="6" t="s">
        <v>42</v>
      </c>
      <c r="D21" s="6"/>
      <c r="E21" s="6" t="s">
        <v>120</v>
      </c>
      <c r="F21" s="6" t="s">
        <v>278</v>
      </c>
      <c r="G21" s="6" t="s">
        <v>78</v>
      </c>
      <c r="H21" s="6" t="s">
        <v>78</v>
      </c>
      <c r="I21" s="6" t="s">
        <v>281</v>
      </c>
      <c r="J21" s="12"/>
      <c r="K21" s="12"/>
      <c r="L21" s="12"/>
      <c r="M21" s="12"/>
      <c r="N21" s="12"/>
    </row>
    <row r="22" ht="24.0" customHeight="1">
      <c r="A22" s="6" t="s">
        <v>30</v>
      </c>
      <c r="B22" s="6" t="s">
        <v>284</v>
      </c>
      <c r="C22" s="6" t="s">
        <v>42</v>
      </c>
      <c r="D22" s="6" t="s">
        <v>285</v>
      </c>
      <c r="E22" s="6" t="s">
        <v>93</v>
      </c>
      <c r="F22" s="6"/>
      <c r="G22" s="6" t="s">
        <v>78</v>
      </c>
      <c r="H22" s="6" t="s">
        <v>78</v>
      </c>
      <c r="I22" s="6" t="s">
        <v>289</v>
      </c>
      <c r="J22" s="12"/>
      <c r="K22" s="12"/>
      <c r="L22" s="12"/>
      <c r="M22" s="12"/>
      <c r="N22" s="12"/>
    </row>
    <row r="23" ht="24.0" customHeight="1">
      <c r="A23" s="6" t="s">
        <v>30</v>
      </c>
      <c r="B23" s="6" t="s">
        <v>284</v>
      </c>
      <c r="C23" s="6" t="s">
        <v>42</v>
      </c>
      <c r="D23" s="6" t="s">
        <v>285</v>
      </c>
      <c r="E23" s="6" t="s">
        <v>74</v>
      </c>
      <c r="F23" s="6"/>
      <c r="G23" s="6" t="s">
        <v>78</v>
      </c>
      <c r="H23" s="6" t="s">
        <v>78</v>
      </c>
      <c r="I23" s="6" t="s">
        <v>296</v>
      </c>
      <c r="J23" s="12"/>
      <c r="K23" s="12"/>
      <c r="L23" s="12"/>
      <c r="M23" s="12"/>
      <c r="N23" s="12"/>
    </row>
    <row r="24" ht="24.0" customHeight="1">
      <c r="A24" s="6" t="s">
        <v>30</v>
      </c>
      <c r="B24" s="6" t="s">
        <v>284</v>
      </c>
      <c r="C24" s="6" t="s">
        <v>42</v>
      </c>
      <c r="D24" s="6" t="s">
        <v>285</v>
      </c>
      <c r="E24" s="6" t="s">
        <v>74</v>
      </c>
      <c r="F24" s="6"/>
      <c r="G24" s="6" t="s">
        <v>78</v>
      </c>
      <c r="H24" s="6" t="s">
        <v>78</v>
      </c>
      <c r="I24" s="6" t="s">
        <v>302</v>
      </c>
      <c r="J24" s="12"/>
      <c r="K24" s="12"/>
      <c r="L24" s="12"/>
      <c r="M24" s="12"/>
      <c r="N24" s="12"/>
    </row>
    <row r="25" ht="24.0" customHeight="1">
      <c r="A25" s="6" t="s">
        <v>30</v>
      </c>
      <c r="B25" s="6" t="s">
        <v>284</v>
      </c>
      <c r="C25" s="6" t="s">
        <v>42</v>
      </c>
      <c r="D25" s="6" t="s">
        <v>308</v>
      </c>
      <c r="E25" s="6" t="s">
        <v>93</v>
      </c>
      <c r="F25" s="6"/>
      <c r="G25" s="6" t="s">
        <v>78</v>
      </c>
      <c r="H25" s="6" t="s">
        <v>78</v>
      </c>
      <c r="I25" s="6" t="s">
        <v>289</v>
      </c>
      <c r="J25" s="12"/>
      <c r="K25" s="12"/>
      <c r="L25" s="12"/>
      <c r="M25" s="12"/>
      <c r="N25" s="12"/>
    </row>
    <row r="26" ht="24.0" customHeight="1">
      <c r="A26" s="6" t="s">
        <v>30</v>
      </c>
      <c r="B26" s="6" t="s">
        <v>284</v>
      </c>
      <c r="C26" s="6" t="s">
        <v>42</v>
      </c>
      <c r="D26" s="6" t="s">
        <v>308</v>
      </c>
      <c r="E26" s="6" t="s">
        <v>74</v>
      </c>
      <c r="F26" s="6"/>
      <c r="G26" s="6" t="s">
        <v>78</v>
      </c>
      <c r="H26" s="6" t="s">
        <v>78</v>
      </c>
      <c r="I26" s="6" t="s">
        <v>320</v>
      </c>
      <c r="J26" s="12"/>
      <c r="K26" s="12"/>
      <c r="L26" s="12"/>
      <c r="M26" s="12"/>
      <c r="N26" s="12"/>
    </row>
    <row r="27" ht="24.0" customHeight="1">
      <c r="A27" s="6" t="s">
        <v>30</v>
      </c>
      <c r="B27" s="6" t="s">
        <v>284</v>
      </c>
      <c r="C27" s="6" t="s">
        <v>42</v>
      </c>
      <c r="D27" s="6" t="s">
        <v>308</v>
      </c>
      <c r="E27" s="6" t="s">
        <v>74</v>
      </c>
      <c r="F27" s="6"/>
      <c r="G27" s="6" t="s">
        <v>78</v>
      </c>
      <c r="H27" s="6" t="s">
        <v>78</v>
      </c>
      <c r="I27" s="6" t="s">
        <v>302</v>
      </c>
      <c r="J27" s="12"/>
      <c r="K27" s="12"/>
      <c r="L27" s="12"/>
      <c r="M27" s="12"/>
      <c r="N27" s="12"/>
    </row>
    <row r="28" ht="24.0" customHeight="1">
      <c r="A28" s="6" t="s">
        <v>30</v>
      </c>
      <c r="B28" s="6" t="s">
        <v>284</v>
      </c>
      <c r="C28" s="6" t="s">
        <v>42</v>
      </c>
      <c r="D28" s="6" t="s">
        <v>85</v>
      </c>
      <c r="E28" s="6" t="s">
        <v>93</v>
      </c>
      <c r="F28" s="6"/>
      <c r="G28" s="6" t="s">
        <v>78</v>
      </c>
      <c r="H28" s="6" t="s">
        <v>78</v>
      </c>
      <c r="I28" s="6" t="s">
        <v>330</v>
      </c>
      <c r="J28" s="12"/>
      <c r="K28" s="12"/>
      <c r="L28" s="12"/>
      <c r="M28" s="12"/>
      <c r="N28" s="12"/>
    </row>
    <row r="29" ht="24.0" customHeight="1">
      <c r="A29" s="6" t="s">
        <v>30</v>
      </c>
      <c r="B29" s="6" t="s">
        <v>284</v>
      </c>
      <c r="C29" s="6" t="s">
        <v>42</v>
      </c>
      <c r="D29" s="6" t="s">
        <v>85</v>
      </c>
      <c r="E29" s="6" t="s">
        <v>74</v>
      </c>
      <c r="F29" s="6"/>
      <c r="G29" s="6" t="s">
        <v>78</v>
      </c>
      <c r="H29" s="6" t="s">
        <v>78</v>
      </c>
      <c r="I29" s="6" t="s">
        <v>338</v>
      </c>
      <c r="J29" s="12"/>
      <c r="K29" s="12"/>
      <c r="L29" s="12"/>
      <c r="M29" s="12"/>
      <c r="N29" s="12"/>
    </row>
    <row r="30" ht="24.0" customHeight="1">
      <c r="A30" s="6" t="s">
        <v>30</v>
      </c>
      <c r="B30" s="6" t="s">
        <v>284</v>
      </c>
      <c r="C30" s="6" t="s">
        <v>42</v>
      </c>
      <c r="D30" s="6" t="s">
        <v>85</v>
      </c>
      <c r="E30" s="6" t="s">
        <v>74</v>
      </c>
      <c r="F30" s="6"/>
      <c r="G30" s="6" t="s">
        <v>78</v>
      </c>
      <c r="H30" s="6" t="s">
        <v>78</v>
      </c>
      <c r="I30" s="6" t="s">
        <v>344</v>
      </c>
      <c r="J30" s="12"/>
      <c r="K30" s="12"/>
      <c r="L30" s="12"/>
      <c r="M30" s="12"/>
      <c r="N30" s="12"/>
    </row>
    <row r="31" ht="24.0" customHeight="1">
      <c r="A31" s="6" t="s">
        <v>30</v>
      </c>
      <c r="B31" s="6" t="s">
        <v>349</v>
      </c>
      <c r="C31" s="6" t="s">
        <v>233</v>
      </c>
      <c r="D31" s="6" t="s">
        <v>253</v>
      </c>
      <c r="E31" s="6" t="s">
        <v>74</v>
      </c>
      <c r="F31" s="6"/>
      <c r="G31" s="6" t="s">
        <v>78</v>
      </c>
      <c r="H31" s="6" t="s">
        <v>352</v>
      </c>
      <c r="I31" s="6"/>
      <c r="J31" s="12"/>
      <c r="K31" s="12"/>
      <c r="L31" s="12"/>
      <c r="M31" s="12"/>
      <c r="N31" s="12"/>
    </row>
    <row r="32" ht="24.0" customHeight="1">
      <c r="A32" s="6" t="s">
        <v>30</v>
      </c>
      <c r="B32" s="6" t="s">
        <v>349</v>
      </c>
      <c r="C32" s="6" t="s">
        <v>233</v>
      </c>
      <c r="D32" s="6" t="s">
        <v>253</v>
      </c>
      <c r="E32" s="6" t="s">
        <v>74</v>
      </c>
      <c r="F32" s="6"/>
      <c r="G32" s="6" t="s">
        <v>78</v>
      </c>
      <c r="H32" s="6" t="s">
        <v>352</v>
      </c>
      <c r="I32" s="6"/>
      <c r="J32" s="12"/>
      <c r="K32" s="12"/>
      <c r="L32" s="12"/>
      <c r="M32" s="12"/>
      <c r="N32" s="12"/>
    </row>
    <row r="33" ht="24.0" customHeight="1">
      <c r="A33" s="6" t="s">
        <v>30</v>
      </c>
      <c r="B33" s="6" t="s">
        <v>349</v>
      </c>
      <c r="C33" s="6" t="s">
        <v>233</v>
      </c>
      <c r="D33" s="6" t="s">
        <v>253</v>
      </c>
      <c r="E33" s="6" t="s">
        <v>74</v>
      </c>
      <c r="F33" s="6"/>
      <c r="G33" s="6" t="s">
        <v>78</v>
      </c>
      <c r="H33" s="6"/>
      <c r="I33" s="6" t="s">
        <v>368</v>
      </c>
      <c r="J33" s="12"/>
      <c r="K33" s="12"/>
      <c r="L33" s="12"/>
      <c r="M33" s="12"/>
      <c r="N33" s="12"/>
    </row>
    <row r="34" ht="24.0" customHeight="1">
      <c r="A34" s="6" t="s">
        <v>30</v>
      </c>
      <c r="B34" s="6" t="s">
        <v>371</v>
      </c>
      <c r="C34" s="6" t="s">
        <v>233</v>
      </c>
      <c r="D34" s="6" t="s">
        <v>373</v>
      </c>
      <c r="E34" s="6" t="s">
        <v>74</v>
      </c>
      <c r="F34" s="6"/>
      <c r="G34" s="6" t="s">
        <v>78</v>
      </c>
      <c r="H34" s="6" t="s">
        <v>352</v>
      </c>
      <c r="I34" s="6"/>
      <c r="J34" s="12"/>
      <c r="K34" s="12"/>
      <c r="L34" s="12"/>
      <c r="M34" s="12"/>
      <c r="N34" s="12"/>
    </row>
    <row r="35" ht="24.0" customHeight="1">
      <c r="A35" s="6" t="s">
        <v>30</v>
      </c>
      <c r="B35" s="6" t="s">
        <v>371</v>
      </c>
      <c r="C35" s="6" t="s">
        <v>233</v>
      </c>
      <c r="D35" s="6" t="s">
        <v>373</v>
      </c>
      <c r="E35" s="6" t="s">
        <v>74</v>
      </c>
      <c r="F35" s="6"/>
      <c r="G35" s="6" t="s">
        <v>78</v>
      </c>
      <c r="H35" s="6" t="s">
        <v>352</v>
      </c>
      <c r="I35" s="6"/>
      <c r="J35" s="12"/>
      <c r="K35" s="12"/>
      <c r="L35" s="12"/>
      <c r="M35" s="12"/>
      <c r="N35" s="12"/>
    </row>
    <row r="36" ht="24.0" customHeight="1">
      <c r="A36" s="6" t="s">
        <v>30</v>
      </c>
      <c r="B36" s="6" t="s">
        <v>371</v>
      </c>
      <c r="C36" s="6" t="s">
        <v>233</v>
      </c>
      <c r="D36" s="6" t="s">
        <v>373</v>
      </c>
      <c r="E36" s="6" t="s">
        <v>74</v>
      </c>
      <c r="F36" s="6"/>
      <c r="G36" s="6" t="s">
        <v>78</v>
      </c>
      <c r="H36" s="6" t="s">
        <v>352</v>
      </c>
      <c r="I36" s="6"/>
      <c r="J36" s="12"/>
      <c r="K36" s="12"/>
      <c r="L36" s="12"/>
      <c r="M36" s="12"/>
      <c r="N36" s="12"/>
    </row>
    <row r="37" ht="24.0" customHeight="1">
      <c r="A37" s="6" t="s">
        <v>30</v>
      </c>
      <c r="B37" s="6" t="s">
        <v>371</v>
      </c>
      <c r="C37" s="6" t="s">
        <v>233</v>
      </c>
      <c r="D37" s="6" t="s">
        <v>373</v>
      </c>
      <c r="E37" s="6" t="s">
        <v>74</v>
      </c>
      <c r="F37" s="6"/>
      <c r="G37" s="6" t="s">
        <v>78</v>
      </c>
      <c r="H37" s="6" t="s">
        <v>352</v>
      </c>
      <c r="I37" s="6"/>
      <c r="J37" s="12"/>
      <c r="K37" s="12"/>
      <c r="L37" s="12"/>
      <c r="M37" s="12"/>
      <c r="N37" s="12"/>
    </row>
    <row r="38" ht="24.0" customHeight="1">
      <c r="A38" s="6" t="s">
        <v>391</v>
      </c>
      <c r="B38" s="6" t="s">
        <v>268</v>
      </c>
      <c r="C38" s="6" t="s">
        <v>392</v>
      </c>
      <c r="D38" s="6" t="s">
        <v>394</v>
      </c>
      <c r="E38" s="6" t="s">
        <v>120</v>
      </c>
      <c r="F38" s="6" t="s">
        <v>396</v>
      </c>
      <c r="G38" s="6" t="s">
        <v>78</v>
      </c>
      <c r="H38" s="6"/>
      <c r="I38" s="6" t="s">
        <v>397</v>
      </c>
      <c r="J38" s="12"/>
      <c r="K38" s="12"/>
      <c r="L38" s="12"/>
      <c r="M38" s="12"/>
      <c r="N38" s="12"/>
    </row>
    <row r="39" ht="24.0" customHeight="1">
      <c r="A39" s="6" t="s">
        <v>391</v>
      </c>
      <c r="B39" s="6" t="s">
        <v>268</v>
      </c>
      <c r="C39" s="6" t="s">
        <v>392</v>
      </c>
      <c r="D39" s="6" t="s">
        <v>394</v>
      </c>
      <c r="E39" s="6" t="s">
        <v>120</v>
      </c>
      <c r="F39" s="6" t="s">
        <v>403</v>
      </c>
      <c r="G39" s="6" t="s">
        <v>78</v>
      </c>
      <c r="H39" s="6"/>
      <c r="I39" s="6" t="s">
        <v>406</v>
      </c>
      <c r="J39" s="12"/>
      <c r="K39" s="12"/>
      <c r="L39" s="12"/>
      <c r="M39" s="12"/>
      <c r="N39" s="12"/>
    </row>
    <row r="40" ht="24.0" customHeight="1">
      <c r="A40" s="6" t="s">
        <v>391</v>
      </c>
      <c r="B40" s="6" t="s">
        <v>268</v>
      </c>
      <c r="C40" s="6" t="s">
        <v>392</v>
      </c>
      <c r="D40" s="6" t="s">
        <v>407</v>
      </c>
      <c r="E40" s="6" t="s">
        <v>93</v>
      </c>
      <c r="F40" s="6"/>
      <c r="G40" s="6" t="s">
        <v>78</v>
      </c>
      <c r="H40" s="6"/>
      <c r="I40" s="6" t="s">
        <v>410</v>
      </c>
      <c r="J40" s="12"/>
      <c r="K40" s="12"/>
      <c r="L40" s="12"/>
      <c r="M40" s="12"/>
      <c r="N40" s="12"/>
    </row>
    <row r="41" ht="24.0" customHeight="1">
      <c r="A41" s="6" t="s">
        <v>391</v>
      </c>
      <c r="B41" s="6" t="s">
        <v>268</v>
      </c>
      <c r="C41" s="6" t="s">
        <v>392</v>
      </c>
      <c r="D41" s="6" t="s">
        <v>415</v>
      </c>
      <c r="E41" s="6" t="s">
        <v>74</v>
      </c>
      <c r="F41" s="6"/>
      <c r="G41" s="6" t="s">
        <v>78</v>
      </c>
      <c r="H41" s="6"/>
      <c r="I41" s="6" t="s">
        <v>419</v>
      </c>
      <c r="J41" s="12"/>
      <c r="K41" s="12"/>
      <c r="L41" s="12"/>
      <c r="M41" s="12"/>
      <c r="N41" s="12"/>
    </row>
    <row r="42" ht="24.0" customHeight="1">
      <c r="A42" s="6" t="s">
        <v>391</v>
      </c>
      <c r="B42" s="6" t="s">
        <v>268</v>
      </c>
      <c r="C42" s="6" t="s">
        <v>392</v>
      </c>
      <c r="D42" s="6" t="s">
        <v>422</v>
      </c>
      <c r="E42" s="6" t="s">
        <v>74</v>
      </c>
      <c r="F42" s="6"/>
      <c r="G42" s="6" t="s">
        <v>78</v>
      </c>
      <c r="H42" s="6"/>
      <c r="I42" s="6"/>
      <c r="J42" s="12"/>
      <c r="K42" s="12"/>
      <c r="L42" s="12"/>
      <c r="M42" s="12"/>
      <c r="N42" s="12"/>
    </row>
    <row r="43" ht="24.0" customHeight="1">
      <c r="A43" s="6" t="s">
        <v>391</v>
      </c>
      <c r="B43" s="6" t="s">
        <v>268</v>
      </c>
      <c r="C43" s="6" t="s">
        <v>392</v>
      </c>
      <c r="D43" s="6" t="s">
        <v>422</v>
      </c>
      <c r="E43" s="6" t="s">
        <v>74</v>
      </c>
      <c r="F43" s="6"/>
      <c r="G43" s="6" t="s">
        <v>78</v>
      </c>
      <c r="H43" s="6"/>
      <c r="I43" s="6"/>
      <c r="J43" s="12"/>
      <c r="K43" s="12"/>
      <c r="L43" s="12"/>
      <c r="M43" s="12"/>
      <c r="N43" s="12"/>
    </row>
    <row r="44" ht="24.0" customHeight="1">
      <c r="A44" s="6" t="s">
        <v>391</v>
      </c>
      <c r="B44" s="6" t="s">
        <v>268</v>
      </c>
      <c r="C44" s="6" t="s">
        <v>392</v>
      </c>
      <c r="D44" s="6" t="s">
        <v>422</v>
      </c>
      <c r="E44" s="6" t="s">
        <v>225</v>
      </c>
      <c r="F44" s="6"/>
      <c r="G44" s="6" t="s">
        <v>352</v>
      </c>
      <c r="H44" s="6"/>
      <c r="I44" s="6" t="s">
        <v>437</v>
      </c>
      <c r="J44" s="12"/>
      <c r="K44" s="12"/>
      <c r="L44" s="12"/>
      <c r="M44" s="12"/>
      <c r="N44" s="12"/>
    </row>
    <row r="45" ht="24.0" customHeight="1">
      <c r="A45" s="6" t="s">
        <v>391</v>
      </c>
      <c r="B45" s="6" t="s">
        <v>268</v>
      </c>
      <c r="C45" s="6" t="s">
        <v>392</v>
      </c>
      <c r="D45" s="6" t="s">
        <v>422</v>
      </c>
      <c r="E45" s="6" t="s">
        <v>225</v>
      </c>
      <c r="F45" s="6"/>
      <c r="G45" s="6" t="s">
        <v>352</v>
      </c>
      <c r="H45" s="6"/>
      <c r="I45" s="6" t="s">
        <v>437</v>
      </c>
      <c r="J45" s="12"/>
      <c r="K45" s="12"/>
      <c r="L45" s="12"/>
      <c r="M45" s="12"/>
      <c r="N45" s="12"/>
    </row>
    <row r="46" ht="24.0" customHeight="1">
      <c r="A46" s="6" t="s">
        <v>391</v>
      </c>
      <c r="B46" s="6" t="s">
        <v>268</v>
      </c>
      <c r="C46" s="6" t="s">
        <v>392</v>
      </c>
      <c r="D46" s="6" t="s">
        <v>407</v>
      </c>
      <c r="E46" s="6" t="s">
        <v>225</v>
      </c>
      <c r="F46" s="6"/>
      <c r="G46" s="6" t="s">
        <v>352</v>
      </c>
      <c r="H46" s="6"/>
      <c r="I46" s="6" t="s">
        <v>437</v>
      </c>
      <c r="J46" s="12"/>
      <c r="K46" s="12"/>
      <c r="L46" s="12"/>
      <c r="M46" s="12"/>
      <c r="N46" s="12"/>
    </row>
    <row r="47" ht="24.0" customHeight="1">
      <c r="A47" s="6" t="s">
        <v>391</v>
      </c>
      <c r="B47" s="6" t="s">
        <v>268</v>
      </c>
      <c r="C47" s="6" t="s">
        <v>392</v>
      </c>
      <c r="D47" s="6" t="s">
        <v>407</v>
      </c>
      <c r="E47" s="6" t="s">
        <v>225</v>
      </c>
      <c r="F47" s="6"/>
      <c r="G47" s="6" t="s">
        <v>352</v>
      </c>
      <c r="H47" s="6"/>
      <c r="I47" s="6" t="s">
        <v>437</v>
      </c>
      <c r="J47" s="12"/>
      <c r="K47" s="12"/>
      <c r="L47" s="12"/>
      <c r="M47" s="12"/>
      <c r="N47" s="12"/>
    </row>
    <row r="48" ht="24.0" customHeight="1">
      <c r="A48" s="6" t="s">
        <v>391</v>
      </c>
      <c r="B48" s="6" t="s">
        <v>268</v>
      </c>
      <c r="C48" s="6" t="s">
        <v>392</v>
      </c>
      <c r="D48" s="6" t="s">
        <v>394</v>
      </c>
      <c r="E48" s="6" t="s">
        <v>225</v>
      </c>
      <c r="F48" s="6"/>
      <c r="G48" s="6" t="s">
        <v>78</v>
      </c>
      <c r="H48" s="6"/>
      <c r="I48" s="6" t="s">
        <v>458</v>
      </c>
      <c r="J48" s="12"/>
      <c r="K48" s="12"/>
      <c r="L48" s="12"/>
      <c r="M48" s="12"/>
      <c r="N48" s="12"/>
    </row>
    <row r="49" ht="24.0" customHeight="1">
      <c r="A49" s="6" t="s">
        <v>391</v>
      </c>
      <c r="B49" s="6" t="s">
        <v>284</v>
      </c>
      <c r="C49" s="6" t="s">
        <v>392</v>
      </c>
      <c r="D49" s="6" t="s">
        <v>394</v>
      </c>
      <c r="E49" s="6" t="s">
        <v>120</v>
      </c>
      <c r="F49" s="6" t="s">
        <v>396</v>
      </c>
      <c r="G49" s="6" t="s">
        <v>78</v>
      </c>
      <c r="H49" s="6"/>
      <c r="I49" s="6"/>
      <c r="J49" s="12"/>
      <c r="K49" s="12"/>
      <c r="L49" s="12"/>
      <c r="M49" s="12"/>
      <c r="N49" s="12"/>
    </row>
    <row r="50" ht="24.0" customHeight="1">
      <c r="A50" s="6" t="s">
        <v>391</v>
      </c>
      <c r="B50" s="6" t="s">
        <v>284</v>
      </c>
      <c r="C50" s="6" t="s">
        <v>392</v>
      </c>
      <c r="D50" s="6" t="s">
        <v>394</v>
      </c>
      <c r="E50" s="6" t="s">
        <v>120</v>
      </c>
      <c r="F50" s="6" t="s">
        <v>467</v>
      </c>
      <c r="G50" s="6" t="s">
        <v>78</v>
      </c>
      <c r="H50" s="6"/>
      <c r="I50" s="6"/>
      <c r="J50" s="12"/>
      <c r="K50" s="12"/>
      <c r="L50" s="12"/>
      <c r="M50" s="12"/>
      <c r="N50" s="12"/>
    </row>
    <row r="51" ht="24.0" customHeight="1">
      <c r="A51" s="6" t="s">
        <v>391</v>
      </c>
      <c r="B51" s="6" t="s">
        <v>284</v>
      </c>
      <c r="C51" s="6" t="s">
        <v>392</v>
      </c>
      <c r="D51" s="6" t="s">
        <v>394</v>
      </c>
      <c r="E51" s="6" t="s">
        <v>120</v>
      </c>
      <c r="F51" s="6" t="s">
        <v>134</v>
      </c>
      <c r="G51" s="6" t="s">
        <v>78</v>
      </c>
      <c r="H51" s="6"/>
      <c r="I51" s="6"/>
      <c r="J51" s="12"/>
      <c r="K51" s="12"/>
      <c r="L51" s="12"/>
      <c r="M51" s="12"/>
      <c r="N51" s="12"/>
    </row>
    <row r="52" ht="24.0" customHeight="1">
      <c r="A52" s="6" t="s">
        <v>391</v>
      </c>
      <c r="B52" s="6" t="s">
        <v>284</v>
      </c>
      <c r="C52" s="6" t="s">
        <v>392</v>
      </c>
      <c r="D52" s="6" t="s">
        <v>394</v>
      </c>
      <c r="E52" s="6" t="s">
        <v>120</v>
      </c>
      <c r="F52" s="6" t="s">
        <v>123</v>
      </c>
      <c r="G52" s="6" t="s">
        <v>78</v>
      </c>
      <c r="H52" s="6"/>
      <c r="I52" s="6" t="s">
        <v>480</v>
      </c>
      <c r="J52" s="12"/>
      <c r="K52" s="12"/>
      <c r="L52" s="12"/>
      <c r="M52" s="12"/>
      <c r="N52" s="12"/>
    </row>
    <row r="53" ht="24.0" customHeight="1">
      <c r="A53" s="6" t="s">
        <v>391</v>
      </c>
      <c r="B53" s="6" t="s">
        <v>284</v>
      </c>
      <c r="C53" s="6" t="s">
        <v>392</v>
      </c>
      <c r="D53" s="6" t="s">
        <v>485</v>
      </c>
      <c r="E53" s="6" t="s">
        <v>74</v>
      </c>
      <c r="F53" s="6"/>
      <c r="G53" s="6" t="s">
        <v>78</v>
      </c>
      <c r="H53" s="6"/>
      <c r="I53" s="6"/>
      <c r="J53" s="12"/>
      <c r="K53" s="12"/>
      <c r="L53" s="12"/>
      <c r="M53" s="12"/>
      <c r="N53" s="12"/>
    </row>
    <row r="54" ht="24.0" customHeight="1">
      <c r="A54" s="6" t="s">
        <v>391</v>
      </c>
      <c r="B54" s="6" t="s">
        <v>284</v>
      </c>
      <c r="C54" s="6" t="s">
        <v>392</v>
      </c>
      <c r="D54" s="6" t="s">
        <v>485</v>
      </c>
      <c r="E54" s="6" t="s">
        <v>74</v>
      </c>
      <c r="F54" s="6"/>
      <c r="G54" s="6" t="s">
        <v>78</v>
      </c>
      <c r="H54" s="6"/>
      <c r="I54" s="6"/>
      <c r="J54" s="12"/>
      <c r="K54" s="12"/>
      <c r="L54" s="12"/>
      <c r="M54" s="12"/>
      <c r="N54" s="12"/>
    </row>
    <row r="55" ht="24.0" customHeight="1">
      <c r="A55" s="6" t="s">
        <v>391</v>
      </c>
      <c r="B55" s="6" t="s">
        <v>284</v>
      </c>
      <c r="C55" s="6" t="s">
        <v>392</v>
      </c>
      <c r="D55" s="6" t="s">
        <v>485</v>
      </c>
      <c r="E55" s="6" t="s">
        <v>74</v>
      </c>
      <c r="F55" s="6"/>
      <c r="G55" s="6" t="s">
        <v>78</v>
      </c>
      <c r="H55" s="6"/>
      <c r="I55" s="6"/>
      <c r="J55" s="12"/>
      <c r="K55" s="12"/>
      <c r="L55" s="12"/>
      <c r="M55" s="12"/>
      <c r="N55" s="12"/>
    </row>
    <row r="56" ht="24.0" customHeight="1">
      <c r="A56" s="6" t="s">
        <v>391</v>
      </c>
      <c r="B56" s="6" t="s">
        <v>284</v>
      </c>
      <c r="C56" s="6" t="s">
        <v>392</v>
      </c>
      <c r="D56" s="6" t="s">
        <v>415</v>
      </c>
      <c r="E56" s="6" t="s">
        <v>74</v>
      </c>
      <c r="F56" s="6"/>
      <c r="G56" s="6" t="s">
        <v>78</v>
      </c>
      <c r="H56" s="6"/>
      <c r="I56" s="6"/>
      <c r="J56" s="12"/>
      <c r="K56" s="12"/>
      <c r="L56" s="12"/>
      <c r="M56" s="12"/>
      <c r="N56" s="12"/>
    </row>
    <row r="57" ht="24.0" customHeight="1">
      <c r="A57" s="6" t="s">
        <v>391</v>
      </c>
      <c r="B57" s="6" t="s">
        <v>284</v>
      </c>
      <c r="C57" s="6" t="s">
        <v>392</v>
      </c>
      <c r="D57" s="6" t="s">
        <v>415</v>
      </c>
      <c r="E57" s="6" t="s">
        <v>74</v>
      </c>
      <c r="F57" s="6"/>
      <c r="G57" s="6" t="s">
        <v>78</v>
      </c>
      <c r="H57" s="6"/>
      <c r="I57" s="6"/>
      <c r="J57" s="12"/>
      <c r="K57" s="12"/>
      <c r="L57" s="12"/>
      <c r="M57" s="12"/>
      <c r="N57" s="12"/>
    </row>
    <row r="58" ht="24.0" customHeight="1">
      <c r="A58" s="6" t="s">
        <v>391</v>
      </c>
      <c r="B58" s="6" t="s">
        <v>284</v>
      </c>
      <c r="C58" s="6" t="s">
        <v>392</v>
      </c>
      <c r="D58" s="6" t="s">
        <v>521</v>
      </c>
      <c r="E58" s="6" t="s">
        <v>93</v>
      </c>
      <c r="F58" s="6"/>
      <c r="G58" s="6" t="s">
        <v>78</v>
      </c>
      <c r="H58" s="6"/>
      <c r="I58" s="6" t="s">
        <v>522</v>
      </c>
      <c r="J58" s="12"/>
      <c r="K58" s="12"/>
      <c r="L58" s="12"/>
      <c r="M58" s="12"/>
      <c r="N58" s="12"/>
    </row>
    <row r="59" ht="24.0" customHeight="1">
      <c r="A59" s="6" t="s">
        <v>391</v>
      </c>
      <c r="B59" s="6" t="s">
        <v>525</v>
      </c>
      <c r="C59" s="6" t="s">
        <v>527</v>
      </c>
      <c r="D59" s="6" t="s">
        <v>533</v>
      </c>
      <c r="E59" s="6" t="s">
        <v>120</v>
      </c>
      <c r="F59" s="6" t="s">
        <v>123</v>
      </c>
      <c r="G59" s="6" t="s">
        <v>78</v>
      </c>
      <c r="H59" s="6"/>
      <c r="I59" s="6" t="s">
        <v>538</v>
      </c>
      <c r="J59" s="12"/>
      <c r="K59" s="12"/>
      <c r="L59" s="12"/>
      <c r="M59" s="12"/>
      <c r="N59" s="12"/>
    </row>
    <row r="60" ht="24.0" customHeight="1">
      <c r="A60" s="6" t="s">
        <v>391</v>
      </c>
      <c r="B60" s="6" t="s">
        <v>525</v>
      </c>
      <c r="C60" s="6" t="s">
        <v>527</v>
      </c>
      <c r="D60" s="6" t="s">
        <v>533</v>
      </c>
      <c r="E60" s="6" t="s">
        <v>120</v>
      </c>
      <c r="F60" s="6" t="s">
        <v>396</v>
      </c>
      <c r="G60" s="6" t="s">
        <v>78</v>
      </c>
      <c r="H60" s="6"/>
      <c r="I60" s="6" t="s">
        <v>552</v>
      </c>
      <c r="J60" s="12"/>
      <c r="K60" s="12"/>
      <c r="L60" s="12"/>
      <c r="M60" s="12"/>
      <c r="N60" s="12"/>
    </row>
    <row r="61" ht="24.0" customHeight="1">
      <c r="A61" s="6" t="s">
        <v>391</v>
      </c>
      <c r="B61" s="6" t="s">
        <v>525</v>
      </c>
      <c r="C61" s="6" t="s">
        <v>527</v>
      </c>
      <c r="D61" s="6" t="s">
        <v>533</v>
      </c>
      <c r="E61" s="6" t="s">
        <v>120</v>
      </c>
      <c r="F61" s="6" t="s">
        <v>396</v>
      </c>
      <c r="G61" s="6" t="s">
        <v>78</v>
      </c>
      <c r="H61" s="6"/>
      <c r="I61" s="6" t="s">
        <v>561</v>
      </c>
      <c r="J61" s="12"/>
      <c r="K61" s="12"/>
      <c r="L61" s="12"/>
      <c r="M61" s="12"/>
      <c r="N61" s="12"/>
    </row>
    <row r="62" ht="24.0" customHeight="1">
      <c r="A62" s="6" t="s">
        <v>391</v>
      </c>
      <c r="B62" s="6" t="s">
        <v>525</v>
      </c>
      <c r="C62" s="6" t="s">
        <v>527</v>
      </c>
      <c r="D62" s="6" t="s">
        <v>533</v>
      </c>
      <c r="E62" s="6" t="s">
        <v>120</v>
      </c>
      <c r="F62" s="6" t="s">
        <v>134</v>
      </c>
      <c r="G62" s="6" t="s">
        <v>78</v>
      </c>
      <c r="H62" s="6"/>
      <c r="I62" s="6" t="s">
        <v>575</v>
      </c>
      <c r="J62" s="12"/>
      <c r="K62" s="12"/>
      <c r="L62" s="12"/>
      <c r="M62" s="12"/>
      <c r="N62" s="12"/>
    </row>
    <row r="63" ht="24.0" customHeight="1">
      <c r="A63" s="6" t="s">
        <v>391</v>
      </c>
      <c r="B63" s="6" t="s">
        <v>525</v>
      </c>
      <c r="C63" s="6" t="s">
        <v>527</v>
      </c>
      <c r="D63" s="6" t="s">
        <v>578</v>
      </c>
      <c r="E63" s="6" t="s">
        <v>93</v>
      </c>
      <c r="F63" s="6"/>
      <c r="G63" s="6" t="s">
        <v>78</v>
      </c>
      <c r="H63" s="6"/>
      <c r="I63" s="6" t="s">
        <v>582</v>
      </c>
      <c r="J63" s="12"/>
      <c r="K63" s="12"/>
      <c r="L63" s="12"/>
      <c r="M63" s="12"/>
      <c r="N63" s="12"/>
    </row>
    <row r="64" ht="24.0" customHeight="1">
      <c r="A64" s="6" t="s">
        <v>391</v>
      </c>
      <c r="B64" s="6" t="s">
        <v>349</v>
      </c>
      <c r="C64" s="6" t="s">
        <v>527</v>
      </c>
      <c r="D64" s="6" t="s">
        <v>533</v>
      </c>
      <c r="E64" s="6" t="s">
        <v>120</v>
      </c>
      <c r="F64" s="6" t="s">
        <v>467</v>
      </c>
      <c r="G64" s="6" t="s">
        <v>78</v>
      </c>
      <c r="H64" s="6"/>
      <c r="I64" s="6" t="s">
        <v>592</v>
      </c>
      <c r="J64" s="12"/>
      <c r="K64" s="12"/>
      <c r="L64" s="12"/>
      <c r="M64" s="12"/>
      <c r="N64" s="12"/>
    </row>
    <row r="65" ht="24.0" customHeight="1">
      <c r="A65" s="6" t="s">
        <v>391</v>
      </c>
      <c r="B65" s="6" t="s">
        <v>349</v>
      </c>
      <c r="C65" s="6" t="s">
        <v>527</v>
      </c>
      <c r="D65" s="6" t="s">
        <v>533</v>
      </c>
      <c r="E65" s="6" t="s">
        <v>120</v>
      </c>
      <c r="F65" s="6" t="s">
        <v>234</v>
      </c>
      <c r="G65" s="6" t="s">
        <v>78</v>
      </c>
      <c r="H65" s="6"/>
      <c r="I65" s="6" t="s">
        <v>600</v>
      </c>
      <c r="J65" s="12"/>
      <c r="K65" s="12"/>
      <c r="L65" s="12"/>
      <c r="M65" s="12"/>
      <c r="N65" s="12"/>
    </row>
    <row r="66" ht="24.0" customHeight="1">
      <c r="A66" s="6" t="s">
        <v>391</v>
      </c>
      <c r="B66" s="6" t="s">
        <v>349</v>
      </c>
      <c r="C66" s="6" t="s">
        <v>527</v>
      </c>
      <c r="D66" s="6" t="s">
        <v>533</v>
      </c>
      <c r="E66" s="6" t="s">
        <v>225</v>
      </c>
      <c r="F66" s="6"/>
      <c r="G66" s="6" t="s">
        <v>352</v>
      </c>
      <c r="H66" s="6"/>
      <c r="I66" s="6" t="s">
        <v>610</v>
      </c>
      <c r="J66" s="12"/>
      <c r="K66" s="12"/>
      <c r="L66" s="12"/>
      <c r="M66" s="12"/>
      <c r="N66" s="12"/>
    </row>
    <row r="67" ht="24.0" customHeight="1">
      <c r="A67" s="6" t="s">
        <v>391</v>
      </c>
      <c r="B67" s="6" t="s">
        <v>349</v>
      </c>
      <c r="C67" s="6" t="s">
        <v>527</v>
      </c>
      <c r="D67" s="6" t="s">
        <v>617</v>
      </c>
      <c r="E67" s="6" t="s">
        <v>93</v>
      </c>
      <c r="F67" s="6"/>
      <c r="G67" s="6" t="s">
        <v>78</v>
      </c>
      <c r="H67" s="6"/>
      <c r="I67" s="6" t="s">
        <v>621</v>
      </c>
      <c r="J67" s="12"/>
      <c r="K67" s="12"/>
      <c r="L67" s="12"/>
      <c r="M67" s="12"/>
      <c r="N67" s="12"/>
    </row>
    <row r="68" ht="24.0" customHeight="1">
      <c r="A68" s="6" t="s">
        <v>391</v>
      </c>
      <c r="B68" s="6" t="s">
        <v>349</v>
      </c>
      <c r="C68" s="6" t="s">
        <v>527</v>
      </c>
      <c r="D68" s="6" t="s">
        <v>627</v>
      </c>
      <c r="E68" s="6" t="s">
        <v>74</v>
      </c>
      <c r="F68" s="6"/>
      <c r="G68" s="6" t="s">
        <v>78</v>
      </c>
      <c r="H68" s="6"/>
      <c r="I68" s="6"/>
      <c r="J68" s="12"/>
      <c r="K68" s="12"/>
      <c r="L68" s="12"/>
      <c r="M68" s="12"/>
      <c r="N68" s="12"/>
    </row>
    <row r="69" ht="24.0" customHeight="1">
      <c r="A69" s="6" t="s">
        <v>391</v>
      </c>
      <c r="B69" s="6" t="s">
        <v>349</v>
      </c>
      <c r="C69" s="6" t="s">
        <v>527</v>
      </c>
      <c r="D69" s="6" t="s">
        <v>627</v>
      </c>
      <c r="E69" s="6" t="s">
        <v>74</v>
      </c>
      <c r="F69" s="6"/>
      <c r="G69" s="6" t="s">
        <v>78</v>
      </c>
      <c r="H69" s="6"/>
      <c r="I69" s="6"/>
      <c r="J69" s="12"/>
      <c r="K69" s="12"/>
      <c r="L69" s="12"/>
      <c r="M69" s="12"/>
      <c r="N69" s="12"/>
    </row>
    <row r="70" ht="24.0" customHeight="1">
      <c r="A70" s="6" t="s">
        <v>391</v>
      </c>
      <c r="B70" s="6" t="s">
        <v>349</v>
      </c>
      <c r="C70" s="6" t="s">
        <v>527</v>
      </c>
      <c r="D70" s="6" t="s">
        <v>627</v>
      </c>
      <c r="E70" s="6" t="s">
        <v>74</v>
      </c>
      <c r="F70" s="6"/>
      <c r="G70" s="6" t="s">
        <v>78</v>
      </c>
      <c r="H70" s="6"/>
      <c r="I70" s="6"/>
      <c r="J70" s="12"/>
      <c r="K70" s="12"/>
      <c r="L70" s="12"/>
      <c r="M70" s="12"/>
      <c r="N70" s="12"/>
    </row>
    <row r="71" ht="24.0" customHeight="1">
      <c r="A71" s="6" t="s">
        <v>391</v>
      </c>
      <c r="B71" s="6" t="s">
        <v>658</v>
      </c>
      <c r="C71" s="6" t="s">
        <v>527</v>
      </c>
      <c r="D71" s="6" t="s">
        <v>627</v>
      </c>
      <c r="E71" s="6" t="s">
        <v>74</v>
      </c>
      <c r="F71" s="6"/>
      <c r="G71" s="6" t="s">
        <v>78</v>
      </c>
      <c r="H71" s="6"/>
      <c r="I71" s="6" t="s">
        <v>664</v>
      </c>
      <c r="J71" s="12"/>
      <c r="K71" s="12"/>
      <c r="L71" s="12"/>
      <c r="M71" s="12"/>
      <c r="N71" s="12"/>
    </row>
    <row r="72" ht="24.0" customHeight="1">
      <c r="A72" s="6" t="s">
        <v>391</v>
      </c>
      <c r="B72" s="6" t="s">
        <v>658</v>
      </c>
      <c r="C72" s="6" t="s">
        <v>527</v>
      </c>
      <c r="D72" s="6" t="s">
        <v>627</v>
      </c>
      <c r="E72" s="6" t="s">
        <v>74</v>
      </c>
      <c r="F72" s="6"/>
      <c r="G72" s="6" t="s">
        <v>78</v>
      </c>
      <c r="H72" s="6"/>
      <c r="I72" s="6" t="s">
        <v>664</v>
      </c>
      <c r="J72" s="12"/>
      <c r="K72" s="12"/>
      <c r="L72" s="12"/>
      <c r="M72" s="12"/>
      <c r="N72" s="12"/>
    </row>
    <row r="73" ht="24.0" customHeight="1">
      <c r="A73" s="6" t="s">
        <v>391</v>
      </c>
      <c r="B73" s="6" t="s">
        <v>658</v>
      </c>
      <c r="C73" s="6" t="s">
        <v>527</v>
      </c>
      <c r="D73" s="6" t="s">
        <v>674</v>
      </c>
      <c r="E73" s="6" t="s">
        <v>74</v>
      </c>
      <c r="F73" s="6"/>
      <c r="G73" s="6" t="s">
        <v>78</v>
      </c>
      <c r="H73" s="6"/>
      <c r="I73" s="6" t="s">
        <v>677</v>
      </c>
      <c r="J73" s="12"/>
      <c r="K73" s="12"/>
      <c r="L73" s="12"/>
      <c r="M73" s="12"/>
      <c r="N73" s="12"/>
    </row>
    <row r="74" ht="24.0" customHeight="1">
      <c r="A74" s="6" t="s">
        <v>391</v>
      </c>
      <c r="B74" s="6" t="s">
        <v>349</v>
      </c>
      <c r="C74" s="6" t="s">
        <v>527</v>
      </c>
      <c r="D74" s="6" t="s">
        <v>674</v>
      </c>
      <c r="E74" s="6" t="s">
        <v>74</v>
      </c>
      <c r="F74" s="6"/>
      <c r="G74" s="6"/>
      <c r="H74" s="6"/>
      <c r="I74" s="6" t="s">
        <v>689</v>
      </c>
      <c r="J74" s="12"/>
      <c r="K74" s="12"/>
      <c r="L74" s="12"/>
      <c r="M74" s="12"/>
      <c r="N74" s="12"/>
    </row>
    <row r="75" ht="24.0" customHeight="1">
      <c r="A75" s="6" t="s">
        <v>391</v>
      </c>
      <c r="B75" s="6" t="s">
        <v>349</v>
      </c>
      <c r="C75" s="6" t="s">
        <v>527</v>
      </c>
      <c r="D75" s="6" t="s">
        <v>674</v>
      </c>
      <c r="E75" s="6" t="s">
        <v>74</v>
      </c>
      <c r="F75" s="6"/>
      <c r="G75" s="6"/>
      <c r="H75" s="6"/>
      <c r="I75" s="6" t="s">
        <v>697</v>
      </c>
      <c r="J75" s="12"/>
      <c r="K75" s="12"/>
      <c r="L75" s="12"/>
      <c r="M75" s="12"/>
      <c r="N75" s="12"/>
    </row>
    <row r="76" ht="24.0" customHeight="1">
      <c r="A76" s="6" t="s">
        <v>391</v>
      </c>
      <c r="B76" s="6" t="s">
        <v>701</v>
      </c>
      <c r="C76" s="6" t="s">
        <v>703</v>
      </c>
      <c r="D76" s="6" t="s">
        <v>705</v>
      </c>
      <c r="E76" s="6" t="s">
        <v>120</v>
      </c>
      <c r="F76" s="6" t="s">
        <v>123</v>
      </c>
      <c r="G76" s="6" t="s">
        <v>78</v>
      </c>
      <c r="H76" s="6"/>
      <c r="I76" s="6" t="s">
        <v>708</v>
      </c>
      <c r="J76" s="12"/>
      <c r="K76" s="12"/>
      <c r="L76" s="12"/>
      <c r="M76" s="12"/>
      <c r="N76" s="12"/>
    </row>
    <row r="77" ht="24.0" customHeight="1">
      <c r="A77" s="6" t="s">
        <v>391</v>
      </c>
      <c r="B77" s="6" t="s">
        <v>701</v>
      </c>
      <c r="C77" s="6" t="s">
        <v>703</v>
      </c>
      <c r="D77" s="6" t="s">
        <v>705</v>
      </c>
      <c r="E77" s="6" t="s">
        <v>120</v>
      </c>
      <c r="F77" s="6" t="s">
        <v>396</v>
      </c>
      <c r="G77" s="6" t="s">
        <v>78</v>
      </c>
      <c r="H77" s="6"/>
      <c r="I77" s="6" t="s">
        <v>719</v>
      </c>
      <c r="J77" s="12"/>
      <c r="K77" s="12"/>
      <c r="L77" s="12"/>
      <c r="M77" s="12"/>
      <c r="N77" s="12"/>
    </row>
    <row r="78" ht="24.0" customHeight="1">
      <c r="A78" s="6" t="s">
        <v>391</v>
      </c>
      <c r="B78" s="6" t="s">
        <v>701</v>
      </c>
      <c r="C78" s="6" t="s">
        <v>703</v>
      </c>
      <c r="D78" s="6" t="s">
        <v>705</v>
      </c>
      <c r="E78" s="6" t="s">
        <v>225</v>
      </c>
      <c r="F78" s="6"/>
      <c r="G78" s="6" t="s">
        <v>78</v>
      </c>
      <c r="H78" s="6"/>
      <c r="I78" s="6" t="s">
        <v>725</v>
      </c>
      <c r="J78" s="12"/>
      <c r="K78" s="12"/>
      <c r="L78" s="12"/>
      <c r="M78" s="12"/>
      <c r="N78" s="12"/>
    </row>
    <row r="79" ht="24.0" customHeight="1">
      <c r="A79" s="6" t="s">
        <v>391</v>
      </c>
      <c r="B79" s="6" t="s">
        <v>701</v>
      </c>
      <c r="C79" s="6" t="s">
        <v>703</v>
      </c>
      <c r="D79" s="6" t="s">
        <v>730</v>
      </c>
      <c r="E79" s="6" t="s">
        <v>93</v>
      </c>
      <c r="F79" s="6"/>
      <c r="G79" s="6" t="s">
        <v>78</v>
      </c>
      <c r="H79" s="6"/>
      <c r="I79" s="6" t="s">
        <v>621</v>
      </c>
      <c r="J79" s="12"/>
      <c r="K79" s="12"/>
      <c r="L79" s="12"/>
      <c r="M79" s="12"/>
      <c r="N79" s="12"/>
    </row>
    <row r="80" ht="24.0" customHeight="1">
      <c r="A80" s="6" t="s">
        <v>391</v>
      </c>
      <c r="B80" s="6" t="s">
        <v>701</v>
      </c>
      <c r="C80" s="6" t="s">
        <v>703</v>
      </c>
      <c r="D80" s="6" t="s">
        <v>739</v>
      </c>
      <c r="E80" s="6" t="s">
        <v>93</v>
      </c>
      <c r="F80" s="6"/>
      <c r="G80" s="6" t="s">
        <v>78</v>
      </c>
      <c r="H80" s="6"/>
      <c r="I80" s="6" t="s">
        <v>742</v>
      </c>
      <c r="J80" s="12"/>
      <c r="K80" s="12"/>
      <c r="L80" s="12"/>
      <c r="M80" s="12"/>
      <c r="N80" s="12"/>
    </row>
    <row r="81" ht="24.0" customHeight="1">
      <c r="A81" s="6" t="s">
        <v>391</v>
      </c>
      <c r="B81" s="6" t="s">
        <v>701</v>
      </c>
      <c r="C81" s="6" t="s">
        <v>703</v>
      </c>
      <c r="D81" s="6" t="s">
        <v>750</v>
      </c>
      <c r="E81" s="6" t="s">
        <v>225</v>
      </c>
      <c r="F81" s="6"/>
      <c r="G81" s="6" t="s">
        <v>352</v>
      </c>
      <c r="H81" s="6"/>
      <c r="I81" s="6" t="s">
        <v>752</v>
      </c>
      <c r="J81" s="12"/>
      <c r="K81" s="12"/>
      <c r="L81" s="12"/>
      <c r="M81" s="12"/>
      <c r="N81" s="12"/>
    </row>
    <row r="82" ht="24.0" customHeight="1">
      <c r="A82" s="6" t="s">
        <v>391</v>
      </c>
      <c r="B82" s="6" t="s">
        <v>701</v>
      </c>
      <c r="C82" s="6" t="s">
        <v>703</v>
      </c>
      <c r="D82" s="6" t="s">
        <v>760</v>
      </c>
      <c r="E82" s="6" t="s">
        <v>225</v>
      </c>
      <c r="F82" s="6"/>
      <c r="G82" s="6" t="s">
        <v>352</v>
      </c>
      <c r="H82" s="6"/>
      <c r="I82" s="6" t="s">
        <v>752</v>
      </c>
      <c r="J82" s="12"/>
      <c r="K82" s="12"/>
      <c r="L82" s="12"/>
      <c r="M82" s="12"/>
      <c r="N82" s="12"/>
    </row>
    <row r="83" ht="24.0" customHeight="1">
      <c r="A83" s="6" t="s">
        <v>391</v>
      </c>
      <c r="B83" s="6" t="s">
        <v>371</v>
      </c>
      <c r="C83" s="6" t="s">
        <v>703</v>
      </c>
      <c r="D83" s="6" t="s">
        <v>705</v>
      </c>
      <c r="E83" s="6" t="s">
        <v>120</v>
      </c>
      <c r="F83" s="6" t="s">
        <v>467</v>
      </c>
      <c r="G83" s="6" t="s">
        <v>78</v>
      </c>
      <c r="H83" s="6"/>
      <c r="I83" s="6" t="s">
        <v>785</v>
      </c>
      <c r="J83" s="12"/>
      <c r="K83" s="12"/>
      <c r="L83" s="12"/>
      <c r="M83" s="12"/>
      <c r="N83" s="12"/>
    </row>
    <row r="84" ht="24.0" customHeight="1">
      <c r="A84" s="6" t="s">
        <v>391</v>
      </c>
      <c r="B84" s="6" t="s">
        <v>371</v>
      </c>
      <c r="C84" s="6" t="s">
        <v>703</v>
      </c>
      <c r="D84" s="6" t="s">
        <v>705</v>
      </c>
      <c r="E84" s="6" t="s">
        <v>120</v>
      </c>
      <c r="F84" s="6" t="s">
        <v>134</v>
      </c>
      <c r="G84" s="6"/>
      <c r="H84" s="6"/>
      <c r="I84" s="6" t="s">
        <v>790</v>
      </c>
      <c r="J84" s="12"/>
      <c r="K84" s="12"/>
      <c r="L84" s="12"/>
      <c r="M84" s="12"/>
      <c r="N84" s="12"/>
    </row>
    <row r="85" ht="24.0" customHeight="1">
      <c r="A85" s="6" t="s">
        <v>793</v>
      </c>
      <c r="B85" s="6" t="s">
        <v>794</v>
      </c>
      <c r="C85" s="6" t="s">
        <v>795</v>
      </c>
      <c r="D85" s="6" t="s">
        <v>797</v>
      </c>
      <c r="E85" s="6" t="s">
        <v>120</v>
      </c>
      <c r="F85" s="6" t="s">
        <v>800</v>
      </c>
      <c r="G85" s="6"/>
      <c r="H85" s="6"/>
      <c r="I85" s="6" t="s">
        <v>801</v>
      </c>
      <c r="J85" s="12"/>
      <c r="K85" s="12"/>
      <c r="L85" s="12"/>
      <c r="M85" s="12"/>
      <c r="N85" s="12"/>
    </row>
    <row r="86" ht="24.0" customHeight="1">
      <c r="A86" s="6" t="s">
        <v>793</v>
      </c>
      <c r="B86" s="6" t="s">
        <v>803</v>
      </c>
      <c r="C86" s="6" t="s">
        <v>795</v>
      </c>
      <c r="D86" s="6" t="s">
        <v>804</v>
      </c>
      <c r="E86" s="6" t="s">
        <v>120</v>
      </c>
      <c r="F86" s="6" t="s">
        <v>800</v>
      </c>
      <c r="G86" s="6"/>
      <c r="H86" s="6"/>
      <c r="I86" s="6" t="s">
        <v>808</v>
      </c>
      <c r="J86" s="12"/>
      <c r="K86" s="12"/>
      <c r="L86" s="12"/>
      <c r="M86" s="12"/>
      <c r="N86" s="12"/>
    </row>
    <row r="87" ht="15.75" customHeight="1"/>
    <row r="88" ht="15.75" customHeight="1">
      <c r="A88" s="18" t="s">
        <v>811</v>
      </c>
    </row>
    <row r="89" ht="24.0" customHeight="1">
      <c r="A89" s="19" t="s">
        <v>817</v>
      </c>
      <c r="B89" s="20"/>
      <c r="C89" s="20"/>
      <c r="D89" s="20"/>
      <c r="E89" s="20"/>
      <c r="F89" s="20"/>
      <c r="G89" s="20"/>
      <c r="H89" s="20"/>
      <c r="I89" s="21"/>
    </row>
    <row r="90" ht="24.0" customHeight="1">
      <c r="A90" s="19" t="s">
        <v>829</v>
      </c>
      <c r="B90" s="20"/>
      <c r="C90" s="20"/>
      <c r="D90" s="20"/>
      <c r="E90" s="20"/>
      <c r="F90" s="20"/>
      <c r="G90" s="20"/>
      <c r="H90" s="20"/>
      <c r="I90" s="21"/>
    </row>
    <row r="91" ht="24.0" customHeight="1">
      <c r="A91" s="19" t="s">
        <v>835</v>
      </c>
      <c r="B91" s="20"/>
      <c r="C91" s="20"/>
      <c r="D91" s="20"/>
      <c r="E91" s="20"/>
      <c r="F91" s="20"/>
      <c r="G91" s="20"/>
      <c r="H91" s="20"/>
      <c r="I91" s="21"/>
    </row>
    <row r="92" ht="24.0" customHeight="1">
      <c r="A92" s="19" t="s">
        <v>843</v>
      </c>
      <c r="B92" s="20"/>
      <c r="C92" s="20"/>
      <c r="D92" s="20"/>
      <c r="E92" s="20"/>
      <c r="F92" s="20"/>
      <c r="G92" s="20"/>
      <c r="H92" s="20"/>
      <c r="I92" s="21"/>
    </row>
    <row r="93" ht="24.0" customHeight="1">
      <c r="A93" s="19" t="s">
        <v>850</v>
      </c>
      <c r="B93" s="20"/>
      <c r="C93" s="20"/>
      <c r="D93" s="20"/>
      <c r="E93" s="20"/>
      <c r="F93" s="20"/>
      <c r="G93" s="20"/>
      <c r="H93" s="20"/>
      <c r="I93" s="21"/>
    </row>
    <row r="94" ht="24.0" customHeight="1">
      <c r="A94" s="19" t="s">
        <v>857</v>
      </c>
      <c r="B94" s="20"/>
      <c r="C94" s="20"/>
      <c r="D94" s="20"/>
      <c r="E94" s="20"/>
      <c r="F94" s="20"/>
      <c r="G94" s="20"/>
      <c r="H94" s="20"/>
      <c r="I94" s="21"/>
    </row>
    <row r="95" ht="24.0" customHeight="1">
      <c r="A95" s="19" t="s">
        <v>864</v>
      </c>
      <c r="B95" s="20"/>
      <c r="C95" s="20"/>
      <c r="D95" s="20"/>
      <c r="E95" s="20"/>
      <c r="F95" s="20"/>
      <c r="G95" s="20"/>
      <c r="H95" s="20"/>
      <c r="I95" s="21"/>
    </row>
    <row r="96" ht="24.0" customHeight="1">
      <c r="A96" s="19" t="s">
        <v>872</v>
      </c>
      <c r="B96" s="20"/>
      <c r="C96" s="20"/>
      <c r="D96" s="20"/>
      <c r="E96" s="20"/>
      <c r="F96" s="20"/>
      <c r="G96" s="20"/>
      <c r="H96" s="20"/>
      <c r="I96" s="21"/>
    </row>
    <row r="97" ht="24.0" customHeight="1">
      <c r="A97" s="19" t="s">
        <v>878</v>
      </c>
      <c r="B97" s="20"/>
      <c r="C97" s="20"/>
      <c r="D97" s="20"/>
      <c r="E97" s="20"/>
      <c r="F97" s="20"/>
      <c r="G97" s="20"/>
      <c r="H97" s="20"/>
      <c r="I97" s="21"/>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86"/>
  <mergeCells count="9">
    <mergeCell ref="A96:I96"/>
    <mergeCell ref="A97:I97"/>
    <mergeCell ref="A89:I89"/>
    <mergeCell ref="A90:I90"/>
    <mergeCell ref="A91:I91"/>
    <mergeCell ref="A92:I92"/>
    <mergeCell ref="A93:I93"/>
    <mergeCell ref="A94:I94"/>
    <mergeCell ref="A95:I95"/>
  </mergeCells>
  <printOptions/>
  <pageMargins bottom="1.0" footer="0.0" header="0.0" left="0.75" right="0.75" top="1.0"/>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1.0"/>
    <col customWidth="1" min="2" max="2" width="40.0"/>
    <col customWidth="1" min="3" max="3" width="8.0"/>
    <col customWidth="1" min="4" max="4" width="20.0"/>
    <col customWidth="1" min="5" max="5" width="10.0"/>
    <col customWidth="1" min="6" max="7" width="22.0"/>
    <col customWidth="1" min="8" max="8" width="13.0"/>
    <col customWidth="1" min="9" max="9" width="66.0"/>
    <col customWidth="1" min="10" max="11" width="12.0"/>
    <col customWidth="1" min="12" max="12" width="34.0"/>
    <col customWidth="1" min="13" max="26" width="14.0"/>
  </cols>
  <sheetData>
    <row r="1" ht="31.5" customHeight="1">
      <c r="A1" s="2" t="s">
        <v>493</v>
      </c>
      <c r="B1" s="2" t="s">
        <v>494</v>
      </c>
      <c r="C1" s="2" t="s">
        <v>495</v>
      </c>
      <c r="D1" s="2" t="s">
        <v>497</v>
      </c>
      <c r="E1" s="2" t="s">
        <v>12</v>
      </c>
      <c r="F1" s="2" t="s">
        <v>18</v>
      </c>
      <c r="G1" s="2" t="s">
        <v>502</v>
      </c>
      <c r="H1" s="2" t="s">
        <v>101</v>
      </c>
      <c r="I1" s="2" t="s">
        <v>507</v>
      </c>
      <c r="J1" s="2" t="s">
        <v>509</v>
      </c>
      <c r="K1" s="2" t="s">
        <v>17</v>
      </c>
      <c r="L1" s="2" t="s">
        <v>511</v>
      </c>
    </row>
    <row r="2" ht="39.0" customHeight="1">
      <c r="A2" s="12">
        <v>1.0</v>
      </c>
      <c r="B2" s="12" t="s">
        <v>517</v>
      </c>
      <c r="C2" s="12" t="s">
        <v>528</v>
      </c>
      <c r="D2" s="12" t="s">
        <v>530</v>
      </c>
      <c r="E2" s="12" t="s">
        <v>62</v>
      </c>
      <c r="F2" s="12" t="s">
        <v>65</v>
      </c>
      <c r="G2" s="12"/>
      <c r="H2" s="12" t="s">
        <v>537</v>
      </c>
      <c r="I2" s="12" t="s">
        <v>541</v>
      </c>
      <c r="J2" s="12" t="s">
        <v>543</v>
      </c>
      <c r="K2" s="12" t="s">
        <v>545</v>
      </c>
      <c r="L2" s="12"/>
    </row>
    <row r="3" ht="39.0" customHeight="1">
      <c r="A3" s="12">
        <v>2.0</v>
      </c>
      <c r="B3" s="12" t="s">
        <v>517</v>
      </c>
      <c r="C3" s="12" t="s">
        <v>528</v>
      </c>
      <c r="D3" s="12" t="s">
        <v>554</v>
      </c>
      <c r="E3" s="12" t="s">
        <v>62</v>
      </c>
      <c r="F3" s="12" t="s">
        <v>129</v>
      </c>
      <c r="G3" s="12"/>
      <c r="H3" s="12" t="s">
        <v>537</v>
      </c>
      <c r="I3" s="12" t="s">
        <v>557</v>
      </c>
      <c r="J3" s="12" t="s">
        <v>543</v>
      </c>
      <c r="K3" s="12" t="s">
        <v>545</v>
      </c>
      <c r="L3" s="12"/>
    </row>
    <row r="4" ht="39.0" customHeight="1">
      <c r="A4" s="12">
        <v>3.0</v>
      </c>
      <c r="B4" s="12" t="s">
        <v>517</v>
      </c>
      <c r="C4" s="12" t="s">
        <v>528</v>
      </c>
      <c r="D4" s="12" t="s">
        <v>565</v>
      </c>
      <c r="E4" s="12" t="s">
        <v>567</v>
      </c>
      <c r="F4" s="12" t="s">
        <v>118</v>
      </c>
      <c r="G4" s="12"/>
      <c r="H4" s="12" t="s">
        <v>570</v>
      </c>
      <c r="I4" s="12" t="s">
        <v>571</v>
      </c>
      <c r="J4" s="12" t="s">
        <v>543</v>
      </c>
      <c r="K4" s="12" t="s">
        <v>545</v>
      </c>
      <c r="L4" s="12"/>
    </row>
    <row r="5" ht="39.0" customHeight="1">
      <c r="A5" s="12">
        <v>4.0</v>
      </c>
      <c r="B5" s="12" t="s">
        <v>517</v>
      </c>
      <c r="C5" s="12" t="s">
        <v>528</v>
      </c>
      <c r="D5" s="12" t="s">
        <v>577</v>
      </c>
      <c r="E5" s="12" t="s">
        <v>130</v>
      </c>
      <c r="F5" s="12" t="s">
        <v>579</v>
      </c>
      <c r="G5" s="12"/>
      <c r="H5" s="12" t="s">
        <v>537</v>
      </c>
      <c r="I5" s="12" t="s">
        <v>584</v>
      </c>
      <c r="J5" s="12" t="s">
        <v>543</v>
      </c>
      <c r="K5" s="12" t="s">
        <v>545</v>
      </c>
      <c r="L5" s="12"/>
    </row>
    <row r="6" ht="39.0" customHeight="1">
      <c r="A6" s="12"/>
      <c r="B6" s="12" t="s">
        <v>517</v>
      </c>
      <c r="C6" s="12" t="s">
        <v>528</v>
      </c>
      <c r="D6" s="12" t="s">
        <v>593</v>
      </c>
      <c r="E6" s="12" t="s">
        <v>496</v>
      </c>
      <c r="F6" s="12" t="s">
        <v>572</v>
      </c>
      <c r="G6" s="12"/>
      <c r="H6" s="12" t="s">
        <v>537</v>
      </c>
      <c r="I6" s="12" t="s">
        <v>598</v>
      </c>
      <c r="J6" s="12" t="s">
        <v>543</v>
      </c>
      <c r="K6" s="12" t="s">
        <v>545</v>
      </c>
      <c r="L6" s="12"/>
    </row>
    <row r="7" ht="39.0" customHeight="1">
      <c r="A7" s="12"/>
      <c r="B7" s="12" t="s">
        <v>517</v>
      </c>
      <c r="C7" s="12" t="s">
        <v>528</v>
      </c>
      <c r="D7" s="12" t="s">
        <v>604</v>
      </c>
      <c r="E7" s="12" t="s">
        <v>496</v>
      </c>
      <c r="F7" s="12" t="s">
        <v>498</v>
      </c>
      <c r="G7" s="12"/>
      <c r="H7" s="12" t="s">
        <v>537</v>
      </c>
      <c r="I7" s="12" t="s">
        <v>608</v>
      </c>
      <c r="J7" s="12" t="s">
        <v>543</v>
      </c>
      <c r="K7" s="12" t="s">
        <v>545</v>
      </c>
      <c r="L7" s="12"/>
    </row>
    <row r="8" ht="39.0" customHeight="1">
      <c r="A8" s="12"/>
      <c r="B8" s="12" t="s">
        <v>517</v>
      </c>
      <c r="C8" s="12" t="s">
        <v>528</v>
      </c>
      <c r="D8" s="12" t="s">
        <v>618</v>
      </c>
      <c r="E8" s="12" t="s">
        <v>496</v>
      </c>
      <c r="F8" s="12" t="s">
        <v>539</v>
      </c>
      <c r="G8" s="12"/>
      <c r="H8" s="12" t="s">
        <v>537</v>
      </c>
      <c r="I8" s="12" t="s">
        <v>623</v>
      </c>
      <c r="J8" s="12" t="s">
        <v>543</v>
      </c>
      <c r="K8" s="12" t="s">
        <v>545</v>
      </c>
      <c r="L8" s="12"/>
    </row>
    <row r="9" ht="39.0" customHeight="1">
      <c r="A9" s="12"/>
      <c r="B9" s="12" t="s">
        <v>517</v>
      </c>
      <c r="C9" s="12" t="s">
        <v>528</v>
      </c>
      <c r="D9" s="12" t="s">
        <v>630</v>
      </c>
      <c r="E9" s="12" t="s">
        <v>496</v>
      </c>
      <c r="F9" s="12" t="s">
        <v>510</v>
      </c>
      <c r="G9" s="12"/>
      <c r="H9" s="12" t="s">
        <v>537</v>
      </c>
      <c r="I9" s="12" t="s">
        <v>636</v>
      </c>
      <c r="J9" s="12" t="s">
        <v>543</v>
      </c>
      <c r="K9" s="12" t="s">
        <v>545</v>
      </c>
      <c r="L9" s="12"/>
    </row>
    <row r="10" ht="39.0" customHeight="1">
      <c r="A10" s="12"/>
      <c r="B10" s="12" t="s">
        <v>517</v>
      </c>
      <c r="C10" s="12" t="s">
        <v>528</v>
      </c>
      <c r="D10" s="12" t="s">
        <v>643</v>
      </c>
      <c r="E10" s="12" t="s">
        <v>496</v>
      </c>
      <c r="F10" s="12" t="s">
        <v>510</v>
      </c>
      <c r="G10" s="12"/>
      <c r="H10" s="12" t="s">
        <v>537</v>
      </c>
      <c r="I10" s="12" t="s">
        <v>649</v>
      </c>
      <c r="J10" s="12" t="s">
        <v>543</v>
      </c>
      <c r="K10" s="12" t="s">
        <v>545</v>
      </c>
      <c r="L10" s="12"/>
    </row>
    <row r="11" ht="39.0" customHeight="1">
      <c r="A11" s="12">
        <v>10.0</v>
      </c>
      <c r="B11" s="12" t="s">
        <v>517</v>
      </c>
      <c r="C11" s="12" t="s">
        <v>528</v>
      </c>
      <c r="D11" s="12" t="s">
        <v>654</v>
      </c>
      <c r="E11" s="12" t="s">
        <v>408</v>
      </c>
      <c r="F11" s="12" t="s">
        <v>420</v>
      </c>
      <c r="G11" s="12"/>
      <c r="H11" s="12" t="s">
        <v>537</v>
      </c>
      <c r="I11" s="12" t="s">
        <v>663</v>
      </c>
      <c r="J11" s="12" t="s">
        <v>543</v>
      </c>
      <c r="K11" s="12" t="s">
        <v>665</v>
      </c>
      <c r="L11" s="12"/>
    </row>
    <row r="12" ht="39.0" customHeight="1">
      <c r="A12" s="12">
        <v>11.0</v>
      </c>
      <c r="B12" s="12" t="s">
        <v>517</v>
      </c>
      <c r="C12" s="12" t="s">
        <v>528</v>
      </c>
      <c r="D12" s="12" t="s">
        <v>669</v>
      </c>
      <c r="E12" s="12" t="s">
        <v>408</v>
      </c>
      <c r="F12" s="12" t="s">
        <v>420</v>
      </c>
      <c r="G12" s="12" t="s">
        <v>129</v>
      </c>
      <c r="H12" s="12" t="s">
        <v>537</v>
      </c>
      <c r="I12" s="12" t="s">
        <v>672</v>
      </c>
      <c r="J12" s="12" t="s">
        <v>543</v>
      </c>
      <c r="K12" s="12" t="s">
        <v>665</v>
      </c>
      <c r="L12" s="12"/>
    </row>
    <row r="13" ht="39.0" customHeight="1">
      <c r="A13" s="12">
        <v>12.0</v>
      </c>
      <c r="B13" s="12" t="s">
        <v>517</v>
      </c>
      <c r="C13" s="12" t="s">
        <v>528</v>
      </c>
      <c r="D13" s="12" t="s">
        <v>679</v>
      </c>
      <c r="E13" s="12" t="s">
        <v>408</v>
      </c>
      <c r="F13" s="12" t="s">
        <v>409</v>
      </c>
      <c r="G13" s="12" t="s">
        <v>429</v>
      </c>
      <c r="H13" s="12" t="s">
        <v>537</v>
      </c>
      <c r="I13" s="12" t="s">
        <v>687</v>
      </c>
      <c r="J13" s="12" t="s">
        <v>543</v>
      </c>
      <c r="K13" s="12" t="s">
        <v>665</v>
      </c>
      <c r="L13" s="12"/>
    </row>
    <row r="14" ht="39.0" customHeight="1">
      <c r="A14" s="12">
        <v>13.0</v>
      </c>
      <c r="B14" s="12" t="s">
        <v>517</v>
      </c>
      <c r="C14" s="12" t="s">
        <v>528</v>
      </c>
      <c r="D14" s="12" t="s">
        <v>650</v>
      </c>
      <c r="E14" s="12" t="s">
        <v>408</v>
      </c>
      <c r="F14" s="12" t="s">
        <v>444</v>
      </c>
      <c r="G14" s="12"/>
      <c r="H14" s="12" t="s">
        <v>537</v>
      </c>
      <c r="I14" s="12" t="s">
        <v>699</v>
      </c>
      <c r="J14" s="12" t="s">
        <v>543</v>
      </c>
      <c r="K14" s="12" t="s">
        <v>665</v>
      </c>
      <c r="L14" s="12"/>
    </row>
    <row r="15" ht="39.0" customHeight="1">
      <c r="A15" s="12">
        <v>14.0</v>
      </c>
      <c r="B15" s="12" t="s">
        <v>517</v>
      </c>
      <c r="C15" s="12" t="s">
        <v>528</v>
      </c>
      <c r="D15" s="12" t="s">
        <v>707</v>
      </c>
      <c r="E15" s="12" t="s">
        <v>446</v>
      </c>
      <c r="F15" s="12" t="s">
        <v>456</v>
      </c>
      <c r="G15" s="12"/>
      <c r="H15" s="12" t="s">
        <v>537</v>
      </c>
      <c r="I15" s="12" t="s">
        <v>714</v>
      </c>
      <c r="J15" s="12" t="s">
        <v>543</v>
      </c>
      <c r="K15" s="12" t="s">
        <v>665</v>
      </c>
      <c r="L15" s="12"/>
    </row>
    <row r="16" ht="39.0" customHeight="1">
      <c r="A16" s="12">
        <v>15.0</v>
      </c>
      <c r="B16" s="12" t="s">
        <v>517</v>
      </c>
      <c r="C16" s="12" t="s">
        <v>528</v>
      </c>
      <c r="D16" s="12" t="s">
        <v>722</v>
      </c>
      <c r="E16" s="12" t="s">
        <v>446</v>
      </c>
      <c r="F16" s="12" t="s">
        <v>447</v>
      </c>
      <c r="G16" s="12"/>
      <c r="H16" s="12" t="s">
        <v>537</v>
      </c>
      <c r="I16" s="12" t="s">
        <v>724</v>
      </c>
      <c r="J16" s="12" t="s">
        <v>543</v>
      </c>
      <c r="K16" s="12" t="s">
        <v>665</v>
      </c>
      <c r="L16" s="12"/>
    </row>
    <row r="17" ht="39.0" customHeight="1">
      <c r="A17" s="12">
        <v>16.0</v>
      </c>
      <c r="B17" s="12" t="s">
        <v>517</v>
      </c>
      <c r="C17" s="12" t="s">
        <v>528</v>
      </c>
      <c r="D17" s="12" t="s">
        <v>711</v>
      </c>
      <c r="E17" s="12" t="s">
        <v>446</v>
      </c>
      <c r="F17" s="12" t="s">
        <v>447</v>
      </c>
      <c r="G17" s="12"/>
      <c r="H17" s="12" t="s">
        <v>537</v>
      </c>
      <c r="I17" s="12" t="s">
        <v>735</v>
      </c>
      <c r="J17" s="12" t="s">
        <v>543</v>
      </c>
      <c r="K17" s="12" t="s">
        <v>665</v>
      </c>
      <c r="L17" s="12"/>
    </row>
    <row r="18" ht="39.0" customHeight="1">
      <c r="A18" s="12">
        <v>17.0</v>
      </c>
      <c r="B18" s="12" t="s">
        <v>517</v>
      </c>
      <c r="C18" s="12" t="s">
        <v>528</v>
      </c>
      <c r="D18" s="12" t="s">
        <v>741</v>
      </c>
      <c r="E18" s="12" t="s">
        <v>446</v>
      </c>
      <c r="F18" s="12" t="s">
        <v>456</v>
      </c>
      <c r="G18" s="12"/>
      <c r="H18" s="12" t="s">
        <v>537</v>
      </c>
      <c r="I18" s="12" t="s">
        <v>746</v>
      </c>
      <c r="J18" s="12" t="s">
        <v>543</v>
      </c>
      <c r="K18" s="12" t="s">
        <v>665</v>
      </c>
      <c r="L18" s="12"/>
    </row>
    <row r="19" ht="39.0" customHeight="1">
      <c r="A19" s="12">
        <v>18.0</v>
      </c>
      <c r="B19" s="12" t="s">
        <v>517</v>
      </c>
      <c r="C19" s="12" t="s">
        <v>528</v>
      </c>
      <c r="D19" s="12" t="s">
        <v>755</v>
      </c>
      <c r="E19" s="12" t="s">
        <v>581</v>
      </c>
      <c r="F19" s="12" t="s">
        <v>609</v>
      </c>
      <c r="G19" s="12"/>
      <c r="H19" s="12" t="s">
        <v>537</v>
      </c>
      <c r="I19" s="12" t="s">
        <v>761</v>
      </c>
      <c r="J19" s="12" t="s">
        <v>543</v>
      </c>
      <c r="K19" s="12" t="s">
        <v>665</v>
      </c>
      <c r="L19" s="12"/>
    </row>
    <row r="20" ht="39.0" customHeight="1">
      <c r="A20" s="12">
        <v>19.0</v>
      </c>
      <c r="B20" s="12" t="s">
        <v>517</v>
      </c>
      <c r="C20" s="12" t="s">
        <v>528</v>
      </c>
      <c r="D20" s="12" t="s">
        <v>778</v>
      </c>
      <c r="E20" s="12" t="s">
        <v>408</v>
      </c>
      <c r="F20" s="12" t="s">
        <v>409</v>
      </c>
      <c r="G20" s="12" t="s">
        <v>118</v>
      </c>
      <c r="H20" s="12" t="s">
        <v>570</v>
      </c>
      <c r="I20" s="12" t="s">
        <v>784</v>
      </c>
      <c r="J20" s="12" t="s">
        <v>543</v>
      </c>
      <c r="K20" s="12" t="s">
        <v>665</v>
      </c>
      <c r="L20" s="12"/>
    </row>
    <row r="21" ht="39.0" customHeight="1">
      <c r="A21" s="12">
        <v>20.0</v>
      </c>
      <c r="B21" s="12" t="s">
        <v>517</v>
      </c>
      <c r="C21" s="12" t="s">
        <v>528</v>
      </c>
      <c r="D21" s="12" t="s">
        <v>786</v>
      </c>
      <c r="E21" s="12" t="s">
        <v>581</v>
      </c>
      <c r="F21" s="12" t="s">
        <v>637</v>
      </c>
      <c r="G21" s="12"/>
      <c r="H21" s="12" t="s">
        <v>537</v>
      </c>
      <c r="I21" s="12" t="s">
        <v>789</v>
      </c>
      <c r="J21" s="12" t="s">
        <v>543</v>
      </c>
      <c r="K21" s="12" t="s">
        <v>665</v>
      </c>
      <c r="L21" s="12"/>
    </row>
    <row r="22" ht="39.0" customHeight="1">
      <c r="A22" s="12">
        <v>21.0</v>
      </c>
      <c r="B22" s="12" t="s">
        <v>517</v>
      </c>
      <c r="C22" s="12" t="s">
        <v>528</v>
      </c>
      <c r="D22" s="12" t="s">
        <v>792</v>
      </c>
      <c r="E22" s="12" t="s">
        <v>581</v>
      </c>
      <c r="F22" s="12" t="s">
        <v>583</v>
      </c>
      <c r="G22" s="12"/>
      <c r="H22" s="12" t="s">
        <v>537</v>
      </c>
      <c r="I22" s="12" t="s">
        <v>798</v>
      </c>
      <c r="J22" s="12" t="s">
        <v>543</v>
      </c>
      <c r="K22" s="12" t="s">
        <v>665</v>
      </c>
      <c r="L22" s="12"/>
    </row>
    <row r="23" ht="39.0" customHeight="1">
      <c r="A23" s="12">
        <v>22.0</v>
      </c>
      <c r="B23" s="12" t="s">
        <v>517</v>
      </c>
      <c r="C23" s="12" t="s">
        <v>528</v>
      </c>
      <c r="D23" s="12" t="s">
        <v>802</v>
      </c>
      <c r="E23" s="12" t="s">
        <v>581</v>
      </c>
      <c r="F23" s="12" t="s">
        <v>651</v>
      </c>
      <c r="G23" s="12"/>
      <c r="H23" s="12" t="s">
        <v>537</v>
      </c>
      <c r="I23" s="12" t="s">
        <v>805</v>
      </c>
      <c r="J23" s="12" t="s">
        <v>543</v>
      </c>
      <c r="K23" s="12" t="s">
        <v>665</v>
      </c>
      <c r="L23" s="12"/>
    </row>
    <row r="24" ht="39.0" customHeight="1">
      <c r="A24" s="12">
        <v>23.0</v>
      </c>
      <c r="B24" s="12" t="s">
        <v>517</v>
      </c>
      <c r="C24" s="12" t="s">
        <v>528</v>
      </c>
      <c r="D24" s="12" t="s">
        <v>809</v>
      </c>
      <c r="E24" s="12" t="s">
        <v>581</v>
      </c>
      <c r="F24" s="12" t="s">
        <v>597</v>
      </c>
      <c r="G24" s="12" t="s">
        <v>154</v>
      </c>
      <c r="H24" s="12" t="s">
        <v>537</v>
      </c>
      <c r="I24" s="12" t="s">
        <v>810</v>
      </c>
      <c r="J24" s="12" t="s">
        <v>543</v>
      </c>
      <c r="K24" s="12" t="s">
        <v>665</v>
      </c>
      <c r="L24" s="12"/>
    </row>
    <row r="25" ht="39.0" customHeight="1">
      <c r="A25" s="12">
        <v>24.0</v>
      </c>
      <c r="B25" s="12" t="s">
        <v>813</v>
      </c>
      <c r="C25" s="12" t="s">
        <v>528</v>
      </c>
      <c r="D25" s="12" t="s">
        <v>815</v>
      </c>
      <c r="E25" s="12" t="s">
        <v>62</v>
      </c>
      <c r="F25" s="12" t="s">
        <v>65</v>
      </c>
      <c r="G25" s="12"/>
      <c r="H25" s="12" t="s">
        <v>537</v>
      </c>
      <c r="I25" s="12" t="s">
        <v>818</v>
      </c>
      <c r="J25" s="12" t="s">
        <v>543</v>
      </c>
      <c r="K25" s="12" t="s">
        <v>665</v>
      </c>
      <c r="L25" s="12"/>
    </row>
    <row r="26" ht="39.0" customHeight="1">
      <c r="A26" s="12">
        <v>25.0</v>
      </c>
      <c r="B26" s="12" t="s">
        <v>813</v>
      </c>
      <c r="C26" s="12" t="s">
        <v>528</v>
      </c>
      <c r="D26" s="12" t="s">
        <v>820</v>
      </c>
      <c r="E26" s="12" t="s">
        <v>62</v>
      </c>
      <c r="F26" s="12" t="s">
        <v>129</v>
      </c>
      <c r="G26" s="12"/>
      <c r="H26" s="12" t="s">
        <v>537</v>
      </c>
      <c r="I26" s="12" t="s">
        <v>823</v>
      </c>
      <c r="J26" s="12" t="s">
        <v>543</v>
      </c>
      <c r="K26" s="12" t="s">
        <v>665</v>
      </c>
      <c r="L26" s="12"/>
    </row>
    <row r="27" ht="39.0" customHeight="1">
      <c r="A27" s="12">
        <v>26.0</v>
      </c>
      <c r="B27" s="12" t="s">
        <v>813</v>
      </c>
      <c r="C27" s="12" t="s">
        <v>528</v>
      </c>
      <c r="D27" s="12" t="s">
        <v>825</v>
      </c>
      <c r="E27" s="12" t="s">
        <v>62</v>
      </c>
      <c r="F27" s="12" t="s">
        <v>166</v>
      </c>
      <c r="G27" s="12"/>
      <c r="H27" s="12" t="s">
        <v>537</v>
      </c>
      <c r="I27" s="12" t="s">
        <v>828</v>
      </c>
      <c r="J27" s="12" t="s">
        <v>543</v>
      </c>
      <c r="K27" s="12" t="s">
        <v>665</v>
      </c>
      <c r="L27" s="12"/>
    </row>
    <row r="28" ht="39.0" customHeight="1">
      <c r="A28" s="12">
        <v>27.0</v>
      </c>
      <c r="B28" s="12" t="s">
        <v>813</v>
      </c>
      <c r="C28" s="12" t="s">
        <v>528</v>
      </c>
      <c r="D28" s="12" t="s">
        <v>831</v>
      </c>
      <c r="E28" s="12" t="s">
        <v>62</v>
      </c>
      <c r="F28" s="12" t="s">
        <v>129</v>
      </c>
      <c r="G28" s="12" t="s">
        <v>166</v>
      </c>
      <c r="H28" s="12" t="s">
        <v>537</v>
      </c>
      <c r="I28" s="12" t="s">
        <v>833</v>
      </c>
      <c r="J28" s="12" t="s">
        <v>543</v>
      </c>
      <c r="K28" s="12" t="s">
        <v>665</v>
      </c>
      <c r="L28" s="12"/>
    </row>
    <row r="29" ht="39.0" customHeight="1">
      <c r="A29" s="12">
        <v>28.0</v>
      </c>
      <c r="B29" s="12" t="s">
        <v>813</v>
      </c>
      <c r="C29" s="12" t="s">
        <v>528</v>
      </c>
      <c r="D29" s="12" t="s">
        <v>836</v>
      </c>
      <c r="E29" s="12" t="s">
        <v>408</v>
      </c>
      <c r="F29" s="12" t="s">
        <v>429</v>
      </c>
      <c r="G29" s="12"/>
      <c r="H29" s="12" t="s">
        <v>537</v>
      </c>
      <c r="I29" s="12" t="s">
        <v>838</v>
      </c>
      <c r="J29" s="12" t="s">
        <v>543</v>
      </c>
      <c r="K29" s="12" t="s">
        <v>665</v>
      </c>
      <c r="L29" s="12"/>
    </row>
    <row r="30" ht="39.0" customHeight="1">
      <c r="A30" s="12">
        <v>29.0</v>
      </c>
      <c r="B30" s="12" t="s">
        <v>813</v>
      </c>
      <c r="C30" s="12" t="s">
        <v>528</v>
      </c>
      <c r="D30" s="12" t="s">
        <v>841</v>
      </c>
      <c r="E30" s="12" t="s">
        <v>408</v>
      </c>
      <c r="F30" s="12" t="s">
        <v>429</v>
      </c>
      <c r="G30" s="12"/>
      <c r="H30" s="12" t="s">
        <v>537</v>
      </c>
      <c r="I30" s="12" t="s">
        <v>844</v>
      </c>
      <c r="J30" s="12" t="s">
        <v>543</v>
      </c>
      <c r="K30" s="12" t="s">
        <v>665</v>
      </c>
      <c r="L30" s="12"/>
    </row>
    <row r="31" ht="39.0" customHeight="1">
      <c r="A31" s="12">
        <v>30.0</v>
      </c>
      <c r="B31" s="12" t="s">
        <v>813</v>
      </c>
      <c r="C31" s="12" t="s">
        <v>528</v>
      </c>
      <c r="D31" s="12" t="s">
        <v>847</v>
      </c>
      <c r="E31" s="12" t="s">
        <v>408</v>
      </c>
      <c r="F31" s="12" t="s">
        <v>409</v>
      </c>
      <c r="G31" s="12" t="s">
        <v>651</v>
      </c>
      <c r="H31" s="12" t="s">
        <v>537</v>
      </c>
      <c r="I31" s="12" t="s">
        <v>849</v>
      </c>
      <c r="J31" s="12" t="s">
        <v>543</v>
      </c>
      <c r="K31" s="12" t="s">
        <v>665</v>
      </c>
      <c r="L31" s="12"/>
    </row>
    <row r="32" ht="39.0" customHeight="1">
      <c r="A32" s="12"/>
      <c r="B32" s="12" t="s">
        <v>813</v>
      </c>
      <c r="C32" s="12" t="s">
        <v>528</v>
      </c>
      <c r="D32" s="12" t="s">
        <v>853</v>
      </c>
      <c r="E32" s="12" t="s">
        <v>408</v>
      </c>
      <c r="F32" s="12" t="s">
        <v>409</v>
      </c>
      <c r="G32" s="12"/>
      <c r="H32" s="12" t="s">
        <v>537</v>
      </c>
      <c r="I32" s="12" t="s">
        <v>855</v>
      </c>
      <c r="J32" s="12" t="s">
        <v>543</v>
      </c>
      <c r="K32" s="12" t="s">
        <v>665</v>
      </c>
      <c r="L32" s="12"/>
    </row>
    <row r="33" ht="39.0" customHeight="1">
      <c r="A33" s="12"/>
      <c r="B33" s="12" t="s">
        <v>813</v>
      </c>
      <c r="C33" s="12" t="s">
        <v>528</v>
      </c>
      <c r="D33" s="12" t="s">
        <v>858</v>
      </c>
      <c r="E33" s="12" t="s">
        <v>496</v>
      </c>
      <c r="F33" s="12" t="s">
        <v>539</v>
      </c>
      <c r="G33" s="12"/>
      <c r="H33" s="12" t="s">
        <v>537</v>
      </c>
      <c r="I33" s="12" t="s">
        <v>860</v>
      </c>
      <c r="J33" s="12" t="s">
        <v>543</v>
      </c>
      <c r="K33" s="12" t="s">
        <v>665</v>
      </c>
      <c r="L33" s="12"/>
    </row>
    <row r="34" ht="39.0" customHeight="1">
      <c r="A34" s="12"/>
      <c r="B34" s="12" t="s">
        <v>813</v>
      </c>
      <c r="C34" s="12" t="s">
        <v>528</v>
      </c>
      <c r="D34" s="12" t="s">
        <v>862</v>
      </c>
      <c r="E34" s="12" t="s">
        <v>62</v>
      </c>
      <c r="F34" s="12" t="s">
        <v>129</v>
      </c>
      <c r="G34" s="12"/>
      <c r="H34" s="12" t="s">
        <v>537</v>
      </c>
      <c r="I34" s="12" t="s">
        <v>866</v>
      </c>
      <c r="J34" s="12" t="s">
        <v>543</v>
      </c>
      <c r="K34" s="12" t="s">
        <v>665</v>
      </c>
      <c r="L34" s="12"/>
    </row>
    <row r="35" ht="39.0" customHeight="1">
      <c r="A35" s="12">
        <v>34.0</v>
      </c>
      <c r="B35" s="12" t="s">
        <v>813</v>
      </c>
      <c r="C35" s="12" t="s">
        <v>528</v>
      </c>
      <c r="D35" s="12" t="s">
        <v>868</v>
      </c>
      <c r="E35" s="12" t="s">
        <v>567</v>
      </c>
      <c r="F35" s="12" t="s">
        <v>704</v>
      </c>
      <c r="G35" s="12"/>
      <c r="H35" s="12" t="s">
        <v>537</v>
      </c>
      <c r="I35" s="12" t="s">
        <v>870</v>
      </c>
      <c r="J35" s="12" t="s">
        <v>543</v>
      </c>
      <c r="K35" s="12" t="s">
        <v>665</v>
      </c>
      <c r="L35" s="12"/>
    </row>
    <row r="36" ht="39.0" customHeight="1">
      <c r="A36" s="12">
        <v>35.0</v>
      </c>
      <c r="B36" s="12" t="s">
        <v>813</v>
      </c>
      <c r="C36" s="12" t="s">
        <v>528</v>
      </c>
      <c r="D36" s="12" t="s">
        <v>873</v>
      </c>
      <c r="E36" s="12" t="s">
        <v>446</v>
      </c>
      <c r="F36" s="12" t="s">
        <v>465</v>
      </c>
      <c r="G36" s="12"/>
      <c r="H36" s="12" t="s">
        <v>537</v>
      </c>
      <c r="I36" s="12" t="s">
        <v>875</v>
      </c>
      <c r="J36" s="12" t="s">
        <v>543</v>
      </c>
      <c r="K36" s="12" t="s">
        <v>665</v>
      </c>
      <c r="L36" s="12"/>
    </row>
    <row r="37" ht="39.0" customHeight="1">
      <c r="A37" s="12">
        <v>36.0</v>
      </c>
      <c r="B37" s="12" t="s">
        <v>813</v>
      </c>
      <c r="C37" s="12" t="s">
        <v>528</v>
      </c>
      <c r="D37" s="12" t="s">
        <v>879</v>
      </c>
      <c r="E37" s="12" t="s">
        <v>581</v>
      </c>
      <c r="F37" s="12" t="s">
        <v>583</v>
      </c>
      <c r="G37" s="12" t="s">
        <v>154</v>
      </c>
      <c r="H37" s="12" t="s">
        <v>537</v>
      </c>
      <c r="I37" s="12" t="s">
        <v>881</v>
      </c>
      <c r="J37" s="12" t="s">
        <v>543</v>
      </c>
      <c r="K37" s="12" t="s">
        <v>665</v>
      </c>
      <c r="L37" s="12"/>
    </row>
    <row r="38" ht="39.0" customHeight="1">
      <c r="A38" s="12">
        <v>37.0</v>
      </c>
      <c r="B38" s="12" t="s">
        <v>813</v>
      </c>
      <c r="C38" s="12" t="s">
        <v>528</v>
      </c>
      <c r="D38" s="12" t="s">
        <v>884</v>
      </c>
      <c r="E38" s="12" t="s">
        <v>581</v>
      </c>
      <c r="F38" s="12" t="s">
        <v>597</v>
      </c>
      <c r="G38" s="12"/>
      <c r="H38" s="12" t="s">
        <v>537</v>
      </c>
      <c r="I38" s="22" t="s">
        <v>885</v>
      </c>
      <c r="J38" s="12" t="s">
        <v>543</v>
      </c>
      <c r="K38" s="12" t="s">
        <v>665</v>
      </c>
      <c r="L38" s="12"/>
    </row>
    <row r="39" ht="39.0" customHeight="1">
      <c r="A39" s="12">
        <v>38.0</v>
      </c>
      <c r="B39" s="12" t="s">
        <v>813</v>
      </c>
      <c r="C39" s="12" t="s">
        <v>528</v>
      </c>
      <c r="D39" s="12" t="s">
        <v>887</v>
      </c>
      <c r="E39" s="12" t="s">
        <v>496</v>
      </c>
      <c r="F39" s="12" t="s">
        <v>498</v>
      </c>
      <c r="G39" s="12"/>
      <c r="H39" s="12" t="s">
        <v>537</v>
      </c>
      <c r="I39" s="12" t="s">
        <v>889</v>
      </c>
      <c r="J39" s="12" t="s">
        <v>543</v>
      </c>
      <c r="K39" s="12" t="s">
        <v>665</v>
      </c>
      <c r="L39" s="12"/>
    </row>
    <row r="40" ht="39.0" customHeight="1">
      <c r="A40" s="12">
        <v>39.0</v>
      </c>
      <c r="B40" s="12" t="s">
        <v>813</v>
      </c>
      <c r="C40" s="12" t="s">
        <v>528</v>
      </c>
      <c r="D40" s="12" t="s">
        <v>891</v>
      </c>
      <c r="E40" s="12" t="s">
        <v>446</v>
      </c>
      <c r="F40" s="12" t="s">
        <v>456</v>
      </c>
      <c r="G40" s="12"/>
      <c r="H40" s="12" t="s">
        <v>537</v>
      </c>
      <c r="I40" s="12" t="s">
        <v>893</v>
      </c>
      <c r="J40" s="12" t="s">
        <v>543</v>
      </c>
      <c r="K40" s="12" t="s">
        <v>665</v>
      </c>
      <c r="L40" s="12"/>
    </row>
    <row r="41" ht="39.0" customHeight="1">
      <c r="A41" s="12">
        <v>40.0</v>
      </c>
      <c r="B41" s="12" t="s">
        <v>813</v>
      </c>
      <c r="C41" s="12" t="s">
        <v>528</v>
      </c>
      <c r="D41" s="12" t="s">
        <v>895</v>
      </c>
      <c r="E41" s="12" t="s">
        <v>446</v>
      </c>
      <c r="F41" s="12" t="s">
        <v>447</v>
      </c>
      <c r="G41" s="12"/>
      <c r="H41" s="12" t="s">
        <v>537</v>
      </c>
      <c r="I41" s="12" t="s">
        <v>897</v>
      </c>
      <c r="J41" s="12" t="s">
        <v>543</v>
      </c>
      <c r="K41" s="12" t="s">
        <v>665</v>
      </c>
      <c r="L41" s="12"/>
    </row>
    <row r="42" ht="39.0" customHeight="1">
      <c r="A42" s="12">
        <v>41.0</v>
      </c>
      <c r="B42" s="12" t="s">
        <v>813</v>
      </c>
      <c r="C42" s="12" t="s">
        <v>528</v>
      </c>
      <c r="D42" s="12" t="s">
        <v>900</v>
      </c>
      <c r="E42" s="12" t="s">
        <v>446</v>
      </c>
      <c r="F42" s="12" t="s">
        <v>456</v>
      </c>
      <c r="G42" s="12"/>
      <c r="H42" s="12" t="s">
        <v>537</v>
      </c>
      <c r="I42" s="12" t="s">
        <v>902</v>
      </c>
      <c r="J42" s="12" t="s">
        <v>543</v>
      </c>
      <c r="K42" s="12" t="s">
        <v>903</v>
      </c>
      <c r="L42" s="12"/>
    </row>
    <row r="43" ht="39.0" customHeight="1">
      <c r="A43" s="12">
        <v>42.0</v>
      </c>
      <c r="B43" s="12" t="s">
        <v>813</v>
      </c>
      <c r="C43" s="12" t="s">
        <v>528</v>
      </c>
      <c r="D43" s="12" t="s">
        <v>906</v>
      </c>
      <c r="E43" s="12" t="s">
        <v>446</v>
      </c>
      <c r="F43" s="12" t="s">
        <v>447</v>
      </c>
      <c r="G43" s="12"/>
      <c r="H43" s="12" t="s">
        <v>537</v>
      </c>
      <c r="I43" s="12" t="s">
        <v>908</v>
      </c>
      <c r="J43" s="12" t="s">
        <v>543</v>
      </c>
      <c r="K43" s="12" t="s">
        <v>903</v>
      </c>
      <c r="L43" s="12"/>
    </row>
    <row r="44" ht="39.0" customHeight="1">
      <c r="A44" s="12">
        <v>43.0</v>
      </c>
      <c r="B44" s="12" t="s">
        <v>813</v>
      </c>
      <c r="C44" s="12" t="s">
        <v>528</v>
      </c>
      <c r="D44" s="12" t="s">
        <v>909</v>
      </c>
      <c r="E44" s="12" t="s">
        <v>567</v>
      </c>
      <c r="F44" s="12" t="s">
        <v>118</v>
      </c>
      <c r="G44" s="12"/>
      <c r="H44" s="12" t="s">
        <v>911</v>
      </c>
      <c r="I44" s="12" t="s">
        <v>913</v>
      </c>
      <c r="J44" s="12" t="s">
        <v>543</v>
      </c>
      <c r="K44" s="12" t="s">
        <v>903</v>
      </c>
      <c r="L44" s="12"/>
    </row>
    <row r="45" ht="39.0" customHeight="1">
      <c r="A45" s="12">
        <v>44.0</v>
      </c>
      <c r="B45" s="12" t="s">
        <v>813</v>
      </c>
      <c r="C45" s="12" t="s">
        <v>528</v>
      </c>
      <c r="D45" s="12" t="s">
        <v>915</v>
      </c>
      <c r="E45" s="12" t="s">
        <v>446</v>
      </c>
      <c r="F45" s="12" t="s">
        <v>474</v>
      </c>
      <c r="G45" s="12"/>
      <c r="H45" s="12" t="s">
        <v>537</v>
      </c>
      <c r="I45" s="12" t="s">
        <v>917</v>
      </c>
      <c r="J45" s="12" t="s">
        <v>543</v>
      </c>
      <c r="K45" s="12" t="s">
        <v>903</v>
      </c>
      <c r="L45" s="12"/>
    </row>
    <row r="46" ht="39.0" customHeight="1">
      <c r="A46" s="12">
        <v>45.0</v>
      </c>
      <c r="B46" s="12" t="s">
        <v>813</v>
      </c>
      <c r="C46" s="12" t="s">
        <v>528</v>
      </c>
      <c r="D46" s="12" t="s">
        <v>919</v>
      </c>
      <c r="E46" s="12" t="s">
        <v>446</v>
      </c>
      <c r="F46" s="12" t="s">
        <v>447</v>
      </c>
      <c r="G46" s="12"/>
      <c r="H46" s="12" t="s">
        <v>537</v>
      </c>
      <c r="I46" s="12" t="s">
        <v>921</v>
      </c>
      <c r="J46" s="12" t="s">
        <v>543</v>
      </c>
      <c r="K46" s="12" t="s">
        <v>903</v>
      </c>
      <c r="L46" s="12"/>
    </row>
    <row r="47" ht="39.0" customHeight="1">
      <c r="A47" s="12">
        <v>46.0</v>
      </c>
      <c r="B47" s="12" t="s">
        <v>813</v>
      </c>
      <c r="C47" s="12" t="s">
        <v>528</v>
      </c>
      <c r="D47" s="12" t="s">
        <v>923</v>
      </c>
      <c r="E47" s="12" t="s">
        <v>446</v>
      </c>
      <c r="F47" s="12" t="s">
        <v>447</v>
      </c>
      <c r="G47" s="12"/>
      <c r="H47" s="12" t="s">
        <v>537</v>
      </c>
      <c r="I47" s="12" t="s">
        <v>925</v>
      </c>
      <c r="J47" s="12" t="s">
        <v>543</v>
      </c>
      <c r="K47" s="12" t="s">
        <v>903</v>
      </c>
      <c r="L47" s="12"/>
    </row>
    <row r="48" ht="39.0" customHeight="1">
      <c r="A48" s="12">
        <v>47.0</v>
      </c>
      <c r="B48" s="12" t="s">
        <v>813</v>
      </c>
      <c r="C48" s="12" t="s">
        <v>528</v>
      </c>
      <c r="D48" s="12" t="s">
        <v>928</v>
      </c>
      <c r="E48" s="12" t="s">
        <v>446</v>
      </c>
      <c r="F48" s="12" t="s">
        <v>447</v>
      </c>
      <c r="G48" s="12"/>
      <c r="H48" s="12" t="s">
        <v>537</v>
      </c>
      <c r="I48" s="22" t="s">
        <v>930</v>
      </c>
      <c r="J48" s="12" t="s">
        <v>543</v>
      </c>
      <c r="K48" s="12" t="s">
        <v>903</v>
      </c>
      <c r="L48" s="12"/>
    </row>
    <row r="49" ht="39.0" customHeight="1">
      <c r="A49" s="12">
        <v>48.0</v>
      </c>
      <c r="B49" s="12" t="s">
        <v>813</v>
      </c>
      <c r="C49" s="12" t="s">
        <v>528</v>
      </c>
      <c r="D49" s="12" t="s">
        <v>933</v>
      </c>
      <c r="E49" s="12" t="s">
        <v>446</v>
      </c>
      <c r="F49" s="12" t="s">
        <v>447</v>
      </c>
      <c r="G49" s="12"/>
      <c r="H49" s="12" t="s">
        <v>537</v>
      </c>
      <c r="I49" s="12" t="s">
        <v>934</v>
      </c>
      <c r="J49" s="12" t="s">
        <v>543</v>
      </c>
      <c r="K49" s="12" t="s">
        <v>903</v>
      </c>
      <c r="L49" s="12"/>
    </row>
    <row r="50" ht="39.0" customHeight="1">
      <c r="A50" s="12">
        <v>49.0</v>
      </c>
      <c r="B50" s="12" t="s">
        <v>813</v>
      </c>
      <c r="C50" s="12" t="s">
        <v>528</v>
      </c>
      <c r="D50" s="12" t="s">
        <v>937</v>
      </c>
      <c r="E50" s="12" t="s">
        <v>446</v>
      </c>
      <c r="F50" s="12" t="s">
        <v>447</v>
      </c>
      <c r="G50" s="12"/>
      <c r="H50" s="12" t="s">
        <v>537</v>
      </c>
      <c r="I50" s="12" t="s">
        <v>938</v>
      </c>
      <c r="J50" s="12" t="s">
        <v>543</v>
      </c>
      <c r="K50" s="12" t="s">
        <v>903</v>
      </c>
      <c r="L50" s="12"/>
    </row>
    <row r="51" ht="39.0" customHeight="1">
      <c r="A51" s="12">
        <v>50.0</v>
      </c>
      <c r="B51" s="12" t="s">
        <v>813</v>
      </c>
      <c r="C51" s="12" t="s">
        <v>528</v>
      </c>
      <c r="D51" s="12" t="s">
        <v>940</v>
      </c>
      <c r="E51" s="12" t="s">
        <v>446</v>
      </c>
      <c r="F51" s="12" t="s">
        <v>447</v>
      </c>
      <c r="G51" s="12" t="s">
        <v>583</v>
      </c>
      <c r="H51" s="12" t="s">
        <v>537</v>
      </c>
      <c r="I51" s="12" t="s">
        <v>943</v>
      </c>
      <c r="J51" s="12" t="s">
        <v>543</v>
      </c>
      <c r="K51" s="12" t="s">
        <v>903</v>
      </c>
      <c r="L51" s="12"/>
    </row>
    <row r="52" ht="39.0" customHeight="1">
      <c r="A52" s="12">
        <v>51.0</v>
      </c>
      <c r="B52" s="12" t="s">
        <v>813</v>
      </c>
      <c r="C52" s="12" t="s">
        <v>528</v>
      </c>
      <c r="D52" s="12" t="s">
        <v>944</v>
      </c>
      <c r="E52" s="12" t="s">
        <v>408</v>
      </c>
      <c r="F52" s="12" t="s">
        <v>420</v>
      </c>
      <c r="G52" s="12"/>
      <c r="H52" s="12" t="s">
        <v>537</v>
      </c>
      <c r="I52" s="12" t="s">
        <v>945</v>
      </c>
      <c r="J52" s="12" t="s">
        <v>543</v>
      </c>
      <c r="K52" s="12" t="s">
        <v>903</v>
      </c>
      <c r="L52" s="12"/>
    </row>
    <row r="53" ht="39.0" customHeight="1">
      <c r="A53" s="12">
        <v>52.0</v>
      </c>
      <c r="B53" s="12" t="s">
        <v>813</v>
      </c>
      <c r="C53" s="12" t="s">
        <v>528</v>
      </c>
      <c r="D53" s="12" t="s">
        <v>946</v>
      </c>
      <c r="E53" s="12" t="s">
        <v>62</v>
      </c>
      <c r="F53" s="12" t="s">
        <v>129</v>
      </c>
      <c r="G53" s="12" t="s">
        <v>409</v>
      </c>
      <c r="H53" s="12" t="s">
        <v>537</v>
      </c>
      <c r="I53" s="12" t="s">
        <v>948</v>
      </c>
      <c r="J53" s="12" t="s">
        <v>543</v>
      </c>
      <c r="K53" s="12" t="s">
        <v>903</v>
      </c>
      <c r="L53" s="12"/>
    </row>
    <row r="54" ht="39.0" customHeight="1">
      <c r="A54" s="12">
        <v>53.0</v>
      </c>
      <c r="B54" s="12" t="s">
        <v>813</v>
      </c>
      <c r="C54" s="12" t="s">
        <v>528</v>
      </c>
      <c r="D54" s="12" t="s">
        <v>950</v>
      </c>
      <c r="E54" s="12" t="s">
        <v>496</v>
      </c>
      <c r="F54" s="12" t="s">
        <v>556</v>
      </c>
      <c r="G54" s="12"/>
      <c r="H54" s="12" t="s">
        <v>537</v>
      </c>
      <c r="I54" s="12" t="s">
        <v>951</v>
      </c>
      <c r="J54" s="12" t="s">
        <v>543</v>
      </c>
      <c r="K54" s="12" t="s">
        <v>952</v>
      </c>
      <c r="L54" s="12"/>
    </row>
    <row r="55" ht="39.0" customHeight="1">
      <c r="A55" s="12">
        <v>54.0</v>
      </c>
      <c r="B55" s="12" t="s">
        <v>813</v>
      </c>
      <c r="C55" s="12" t="s">
        <v>528</v>
      </c>
      <c r="D55" s="12" t="s">
        <v>953</v>
      </c>
      <c r="E55" s="12" t="s">
        <v>408</v>
      </c>
      <c r="F55" s="12" t="s">
        <v>420</v>
      </c>
      <c r="G55" s="12" t="s">
        <v>216</v>
      </c>
      <c r="H55" s="12" t="s">
        <v>537</v>
      </c>
      <c r="I55" s="12" t="s">
        <v>955</v>
      </c>
      <c r="J55" s="12" t="s">
        <v>543</v>
      </c>
      <c r="K55" s="12" t="s">
        <v>952</v>
      </c>
      <c r="L55" s="12"/>
    </row>
    <row r="56" ht="39.0" customHeight="1">
      <c r="A56" s="12">
        <v>58.0</v>
      </c>
      <c r="B56" s="12" t="s">
        <v>813</v>
      </c>
      <c r="C56" s="12" t="s">
        <v>528</v>
      </c>
      <c r="D56" s="12" t="s">
        <v>957</v>
      </c>
      <c r="E56" s="12" t="s">
        <v>496</v>
      </c>
      <c r="F56" s="12" t="s">
        <v>539</v>
      </c>
      <c r="G56" s="12"/>
      <c r="H56" s="12" t="s">
        <v>537</v>
      </c>
      <c r="I56" s="12" t="s">
        <v>958</v>
      </c>
      <c r="J56" s="12" t="s">
        <v>543</v>
      </c>
      <c r="K56" s="12" t="s">
        <v>952</v>
      </c>
      <c r="L56" s="12"/>
    </row>
    <row r="57" ht="39.0" customHeight="1">
      <c r="A57" s="12"/>
      <c r="B57" s="12" t="s">
        <v>813</v>
      </c>
      <c r="C57" s="12" t="s">
        <v>528</v>
      </c>
      <c r="D57" s="12" t="s">
        <v>959</v>
      </c>
      <c r="E57" s="12" t="s">
        <v>408</v>
      </c>
      <c r="F57" s="12" t="s">
        <v>420</v>
      </c>
      <c r="G57" s="12"/>
      <c r="H57" s="12" t="s">
        <v>537</v>
      </c>
      <c r="I57" s="12" t="s">
        <v>960</v>
      </c>
      <c r="J57" s="12" t="s">
        <v>543</v>
      </c>
      <c r="K57" s="12" t="s">
        <v>952</v>
      </c>
      <c r="L57" s="12"/>
    </row>
    <row r="58" ht="39.0" customHeight="1">
      <c r="A58" s="12">
        <v>57.0</v>
      </c>
      <c r="B58" s="12" t="s">
        <v>813</v>
      </c>
      <c r="C58" s="12" t="s">
        <v>528</v>
      </c>
      <c r="D58" s="12" t="s">
        <v>962</v>
      </c>
      <c r="E58" s="12" t="s">
        <v>408</v>
      </c>
      <c r="F58" s="12" t="s">
        <v>429</v>
      </c>
      <c r="G58" s="12"/>
      <c r="H58" s="12" t="s">
        <v>537</v>
      </c>
      <c r="I58" s="12" t="s">
        <v>964</v>
      </c>
      <c r="J58" s="12" t="s">
        <v>543</v>
      </c>
      <c r="K58" s="12" t="s">
        <v>952</v>
      </c>
      <c r="L58" s="12"/>
    </row>
    <row r="59" ht="39.0" customHeight="1">
      <c r="A59" s="12">
        <v>58.0</v>
      </c>
      <c r="B59" s="12" t="s">
        <v>813</v>
      </c>
      <c r="C59" s="12" t="s">
        <v>528</v>
      </c>
      <c r="D59" s="12" t="s">
        <v>965</v>
      </c>
      <c r="E59" s="12" t="s">
        <v>408</v>
      </c>
      <c r="F59" s="12" t="s">
        <v>409</v>
      </c>
      <c r="G59" s="12" t="s">
        <v>651</v>
      </c>
      <c r="H59" s="12" t="s">
        <v>537</v>
      </c>
      <c r="I59" s="12" t="s">
        <v>967</v>
      </c>
      <c r="J59" s="12" t="s">
        <v>543</v>
      </c>
      <c r="K59" s="12" t="s">
        <v>952</v>
      </c>
      <c r="L59" s="12"/>
    </row>
    <row r="60" ht="39.0" customHeight="1">
      <c r="A60" s="12">
        <v>59.0</v>
      </c>
      <c r="B60" s="12" t="s">
        <v>813</v>
      </c>
      <c r="C60" s="12" t="s">
        <v>528</v>
      </c>
      <c r="D60" s="12" t="s">
        <v>969</v>
      </c>
      <c r="E60" s="12" t="s">
        <v>408</v>
      </c>
      <c r="F60" s="12" t="s">
        <v>429</v>
      </c>
      <c r="G60" s="12"/>
      <c r="H60" s="12" t="s">
        <v>537</v>
      </c>
      <c r="I60" s="12" t="s">
        <v>971</v>
      </c>
      <c r="J60" s="12" t="s">
        <v>543</v>
      </c>
      <c r="K60" s="12" t="s">
        <v>972</v>
      </c>
      <c r="L60" s="12"/>
    </row>
    <row r="61" ht="39.0" customHeight="1">
      <c r="A61" s="12">
        <v>60.0</v>
      </c>
      <c r="B61" s="12" t="s">
        <v>813</v>
      </c>
      <c r="C61" s="12" t="s">
        <v>528</v>
      </c>
      <c r="D61" s="12" t="s">
        <v>975</v>
      </c>
      <c r="E61" s="12" t="s">
        <v>408</v>
      </c>
      <c r="F61" s="12" t="s">
        <v>436</v>
      </c>
      <c r="G61" s="12"/>
      <c r="H61" s="12" t="s">
        <v>537</v>
      </c>
      <c r="I61" s="12" t="s">
        <v>976</v>
      </c>
      <c r="J61" s="12" t="s">
        <v>543</v>
      </c>
      <c r="K61" s="12" t="s">
        <v>972</v>
      </c>
      <c r="L61" s="12"/>
    </row>
    <row r="62" ht="39.0" customHeight="1">
      <c r="A62" s="12"/>
      <c r="B62" s="12"/>
      <c r="C62" s="12"/>
      <c r="D62" s="12"/>
      <c r="E62" s="12"/>
      <c r="F62" s="12"/>
      <c r="G62" s="12"/>
      <c r="H62" s="12"/>
      <c r="I62" s="12"/>
      <c r="J62" s="12"/>
      <c r="K62" s="12"/>
      <c r="L62" s="12"/>
    </row>
    <row r="63" ht="39.0" customHeight="1">
      <c r="A63" s="12">
        <v>61.0</v>
      </c>
      <c r="B63" s="12" t="s">
        <v>813</v>
      </c>
      <c r="C63" s="12" t="s">
        <v>528</v>
      </c>
      <c r="D63" s="12" t="s">
        <v>980</v>
      </c>
      <c r="E63" s="12" t="s">
        <v>581</v>
      </c>
      <c r="F63" s="12" t="s">
        <v>583</v>
      </c>
      <c r="G63" s="12" t="s">
        <v>465</v>
      </c>
      <c r="H63" s="12" t="s">
        <v>537</v>
      </c>
      <c r="I63" s="12" t="s">
        <v>981</v>
      </c>
      <c r="J63" s="12" t="s">
        <v>543</v>
      </c>
      <c r="K63" s="12" t="s">
        <v>972</v>
      </c>
      <c r="L63" s="12"/>
    </row>
    <row r="64" ht="39.0" customHeight="1">
      <c r="A64" s="12">
        <v>62.0</v>
      </c>
      <c r="B64" s="12" t="s">
        <v>813</v>
      </c>
      <c r="C64" s="12" t="s">
        <v>528</v>
      </c>
      <c r="D64" s="12" t="s">
        <v>982</v>
      </c>
      <c r="E64" s="12" t="s">
        <v>581</v>
      </c>
      <c r="F64" s="12" t="s">
        <v>609</v>
      </c>
      <c r="G64" s="12"/>
      <c r="H64" s="12" t="s">
        <v>537</v>
      </c>
      <c r="I64" s="12" t="s">
        <v>984</v>
      </c>
      <c r="J64" s="12" t="s">
        <v>543</v>
      </c>
      <c r="K64" s="12" t="s">
        <v>972</v>
      </c>
      <c r="L64" s="12"/>
    </row>
    <row r="65" ht="39.0" customHeight="1">
      <c r="A65" s="12">
        <v>63.0</v>
      </c>
      <c r="B65" s="12" t="s">
        <v>813</v>
      </c>
      <c r="C65" s="12" t="s">
        <v>528</v>
      </c>
      <c r="D65" s="12" t="s">
        <v>986</v>
      </c>
      <c r="E65" s="12" t="s">
        <v>446</v>
      </c>
      <c r="F65" s="12" t="s">
        <v>465</v>
      </c>
      <c r="G65" s="12"/>
      <c r="H65" s="12" t="s">
        <v>537</v>
      </c>
      <c r="I65" s="12" t="s">
        <v>988</v>
      </c>
      <c r="J65" s="12" t="s">
        <v>543</v>
      </c>
      <c r="K65" s="12" t="s">
        <v>972</v>
      </c>
      <c r="L65" s="12"/>
    </row>
    <row r="66" ht="39.0" customHeight="1">
      <c r="A66" s="12">
        <v>64.0</v>
      </c>
      <c r="B66" s="12" t="s">
        <v>813</v>
      </c>
      <c r="C66" s="12" t="s">
        <v>528</v>
      </c>
      <c r="D66" s="12" t="s">
        <v>990</v>
      </c>
      <c r="E66" s="12" t="s">
        <v>581</v>
      </c>
      <c r="F66" s="12" t="s">
        <v>666</v>
      </c>
      <c r="G66" s="12"/>
      <c r="H66" s="12" t="s">
        <v>537</v>
      </c>
      <c r="I66" s="12" t="s">
        <v>992</v>
      </c>
      <c r="J66" s="12" t="s">
        <v>543</v>
      </c>
      <c r="K66" s="12" t="s">
        <v>972</v>
      </c>
      <c r="L66" s="12"/>
    </row>
    <row r="67" ht="39.0" customHeight="1">
      <c r="A67" s="12">
        <v>65.0</v>
      </c>
      <c r="B67" s="12" t="s">
        <v>519</v>
      </c>
      <c r="C67" s="12" t="s">
        <v>528</v>
      </c>
      <c r="D67" s="12" t="s">
        <v>994</v>
      </c>
      <c r="E67" s="12" t="s">
        <v>183</v>
      </c>
      <c r="F67" s="12" t="s">
        <v>216</v>
      </c>
      <c r="G67" s="12"/>
      <c r="H67" s="12" t="s">
        <v>537</v>
      </c>
      <c r="I67" s="12" t="s">
        <v>540</v>
      </c>
      <c r="J67" s="12" t="s">
        <v>543</v>
      </c>
      <c r="K67" s="12" t="s">
        <v>996</v>
      </c>
      <c r="L67" s="12"/>
    </row>
    <row r="68" ht="39.0" customHeight="1">
      <c r="A68" s="12">
        <v>66.0</v>
      </c>
      <c r="B68" s="12" t="s">
        <v>519</v>
      </c>
      <c r="C68" s="12" t="s">
        <v>528</v>
      </c>
      <c r="D68" s="12" t="s">
        <v>994</v>
      </c>
      <c r="E68" s="12" t="s">
        <v>236</v>
      </c>
      <c r="F68" s="12" t="s">
        <v>237</v>
      </c>
      <c r="G68" s="12"/>
      <c r="H68" s="12" t="s">
        <v>537</v>
      </c>
      <c r="I68" s="12" t="s">
        <v>999</v>
      </c>
      <c r="J68" s="12" t="s">
        <v>543</v>
      </c>
      <c r="K68" s="12" t="s">
        <v>996</v>
      </c>
      <c r="L68" s="12"/>
    </row>
    <row r="69" ht="39.0" customHeight="1">
      <c r="A69" s="12">
        <v>67.0</v>
      </c>
      <c r="B69" s="12" t="s">
        <v>519</v>
      </c>
      <c r="C69" s="12" t="s">
        <v>528</v>
      </c>
      <c r="D69" s="12" t="s">
        <v>994</v>
      </c>
      <c r="E69" s="12" t="s">
        <v>236</v>
      </c>
      <c r="F69" s="12" t="s">
        <v>262</v>
      </c>
      <c r="G69" s="12"/>
      <c r="H69" s="12" t="s">
        <v>537</v>
      </c>
      <c r="I69" s="12" t="s">
        <v>1001</v>
      </c>
      <c r="J69" s="12" t="s">
        <v>543</v>
      </c>
      <c r="K69" s="12" t="s">
        <v>996</v>
      </c>
      <c r="L69" s="12"/>
    </row>
    <row r="70" ht="39.0" customHeight="1">
      <c r="A70" s="12">
        <v>68.0</v>
      </c>
      <c r="B70" s="12" t="s">
        <v>519</v>
      </c>
      <c r="C70" s="12" t="s">
        <v>528</v>
      </c>
      <c r="D70" s="12" t="s">
        <v>1003</v>
      </c>
      <c r="E70" s="12" t="s">
        <v>183</v>
      </c>
      <c r="F70" s="12" t="s">
        <v>226</v>
      </c>
      <c r="G70" s="12"/>
      <c r="H70" s="12" t="s">
        <v>537</v>
      </c>
      <c r="I70" s="12" t="s">
        <v>576</v>
      </c>
      <c r="J70" s="12" t="s">
        <v>543</v>
      </c>
      <c r="K70" s="12" t="s">
        <v>996</v>
      </c>
      <c r="L70" s="12"/>
    </row>
    <row r="71" ht="39.0" customHeight="1">
      <c r="A71" s="12">
        <v>69.0</v>
      </c>
      <c r="B71" s="12" t="s">
        <v>519</v>
      </c>
      <c r="C71" s="12" t="s">
        <v>528</v>
      </c>
      <c r="D71" s="12" t="s">
        <v>1006</v>
      </c>
      <c r="E71" s="12" t="s">
        <v>567</v>
      </c>
      <c r="F71" s="12" t="s">
        <v>118</v>
      </c>
      <c r="G71" s="12" t="s">
        <v>704</v>
      </c>
      <c r="H71" s="12" t="s">
        <v>570</v>
      </c>
      <c r="I71" s="12" t="s">
        <v>595</v>
      </c>
      <c r="J71" s="12" t="s">
        <v>543</v>
      </c>
      <c r="K71" s="12" t="s">
        <v>996</v>
      </c>
      <c r="L71" s="12"/>
    </row>
    <row r="72" ht="39.0" customHeight="1">
      <c r="A72" s="12">
        <v>70.0</v>
      </c>
      <c r="B72" s="12" t="s">
        <v>519</v>
      </c>
      <c r="C72" s="12" t="s">
        <v>528</v>
      </c>
      <c r="D72" s="12" t="s">
        <v>1009</v>
      </c>
      <c r="E72" s="12" t="s">
        <v>183</v>
      </c>
      <c r="F72" s="12" t="s">
        <v>207</v>
      </c>
      <c r="G72" s="12"/>
      <c r="H72" s="12" t="s">
        <v>537</v>
      </c>
      <c r="I72" s="12" t="s">
        <v>1010</v>
      </c>
      <c r="J72" s="12" t="s">
        <v>543</v>
      </c>
      <c r="K72" s="12" t="s">
        <v>996</v>
      </c>
      <c r="L72" s="12"/>
    </row>
    <row r="73" ht="39.0" customHeight="1">
      <c r="A73" s="12">
        <v>71.0</v>
      </c>
      <c r="B73" s="12" t="s">
        <v>519</v>
      </c>
      <c r="C73" s="12" t="s">
        <v>528</v>
      </c>
      <c r="D73" s="12" t="s">
        <v>1009</v>
      </c>
      <c r="E73" s="12" t="s">
        <v>183</v>
      </c>
      <c r="F73" s="12" t="s">
        <v>197</v>
      </c>
      <c r="G73" s="12"/>
      <c r="H73" s="12" t="s">
        <v>537</v>
      </c>
      <c r="I73" s="12" t="s">
        <v>1012</v>
      </c>
      <c r="J73" s="12" t="s">
        <v>543</v>
      </c>
      <c r="K73" s="12" t="s">
        <v>996</v>
      </c>
      <c r="L73" s="12"/>
    </row>
    <row r="74" ht="39.0" customHeight="1">
      <c r="A74" s="12">
        <v>72.0</v>
      </c>
      <c r="B74" s="12" t="s">
        <v>519</v>
      </c>
      <c r="C74" s="12" t="s">
        <v>528</v>
      </c>
      <c r="D74" s="12" t="s">
        <v>1013</v>
      </c>
      <c r="E74" s="12" t="s">
        <v>183</v>
      </c>
      <c r="F74" s="12" t="s">
        <v>197</v>
      </c>
      <c r="G74" s="12" t="s">
        <v>393</v>
      </c>
      <c r="H74" s="12" t="s">
        <v>537</v>
      </c>
      <c r="I74" s="12" t="s">
        <v>655</v>
      </c>
      <c r="J74" s="12" t="s">
        <v>543</v>
      </c>
      <c r="K74" s="12" t="s">
        <v>996</v>
      </c>
      <c r="L74" s="12"/>
    </row>
    <row r="75" ht="39.0" customHeight="1">
      <c r="A75" s="12">
        <v>73.0</v>
      </c>
      <c r="B75" s="12" t="s">
        <v>519</v>
      </c>
      <c r="C75" s="12" t="s">
        <v>528</v>
      </c>
      <c r="D75" s="12" t="s">
        <v>1016</v>
      </c>
      <c r="E75" s="12" t="s">
        <v>236</v>
      </c>
      <c r="F75" s="12" t="s">
        <v>237</v>
      </c>
      <c r="G75" s="12"/>
      <c r="H75" s="12" t="s">
        <v>537</v>
      </c>
      <c r="I75" s="12" t="s">
        <v>1017</v>
      </c>
      <c r="J75" s="12" t="s">
        <v>543</v>
      </c>
      <c r="K75" s="12" t="s">
        <v>996</v>
      </c>
      <c r="L75" s="12"/>
    </row>
    <row r="76" ht="39.0" customHeight="1">
      <c r="A76" s="12">
        <v>74.0</v>
      </c>
      <c r="B76" s="12" t="s">
        <v>519</v>
      </c>
      <c r="C76" s="12" t="s">
        <v>528</v>
      </c>
      <c r="D76" s="12" t="s">
        <v>1019</v>
      </c>
      <c r="E76" s="12" t="s">
        <v>236</v>
      </c>
      <c r="F76" s="12" t="s">
        <v>237</v>
      </c>
      <c r="G76" s="12"/>
      <c r="H76" s="12" t="s">
        <v>537</v>
      </c>
      <c r="I76" s="12" t="s">
        <v>1021</v>
      </c>
      <c r="J76" s="12" t="s">
        <v>543</v>
      </c>
      <c r="K76" s="12" t="s">
        <v>996</v>
      </c>
      <c r="L76" s="12"/>
    </row>
    <row r="77" ht="39.0" customHeight="1">
      <c r="A77" s="12">
        <v>75.0</v>
      </c>
      <c r="B77" s="12" t="s">
        <v>519</v>
      </c>
      <c r="C77" s="12" t="s">
        <v>528</v>
      </c>
      <c r="D77" s="12" t="s">
        <v>1019</v>
      </c>
      <c r="E77" s="12" t="s">
        <v>130</v>
      </c>
      <c r="F77" s="12" t="s">
        <v>680</v>
      </c>
      <c r="G77" s="12"/>
      <c r="H77" s="12" t="s">
        <v>537</v>
      </c>
      <c r="I77" s="12" t="s">
        <v>1022</v>
      </c>
      <c r="J77" s="12" t="s">
        <v>543</v>
      </c>
      <c r="K77" s="12" t="s">
        <v>996</v>
      </c>
      <c r="L77" s="12"/>
    </row>
    <row r="78" ht="39.0" customHeight="1">
      <c r="A78" s="12">
        <v>76.0</v>
      </c>
      <c r="B78" s="12" t="s">
        <v>519</v>
      </c>
      <c r="C78" s="12" t="s">
        <v>528</v>
      </c>
      <c r="D78" s="12" t="s">
        <v>1019</v>
      </c>
      <c r="E78" s="12" t="s">
        <v>130</v>
      </c>
      <c r="F78" s="12" t="s">
        <v>579</v>
      </c>
      <c r="G78" s="12" t="s">
        <v>197</v>
      </c>
      <c r="H78" s="12" t="s">
        <v>537</v>
      </c>
      <c r="I78" s="12" t="s">
        <v>1025</v>
      </c>
      <c r="J78" s="12" t="s">
        <v>543</v>
      </c>
      <c r="K78" s="12" t="s">
        <v>996</v>
      </c>
      <c r="L78" s="12"/>
    </row>
    <row r="79" ht="39.0" customHeight="1">
      <c r="A79" s="12">
        <v>77.0</v>
      </c>
      <c r="B79" s="12" t="s">
        <v>519</v>
      </c>
      <c r="C79" s="12" t="s">
        <v>528</v>
      </c>
      <c r="D79" s="12" t="s">
        <v>1026</v>
      </c>
      <c r="E79" s="12" t="s">
        <v>183</v>
      </c>
      <c r="F79" s="12" t="s">
        <v>207</v>
      </c>
      <c r="G79" s="12"/>
      <c r="H79" s="12" t="s">
        <v>537</v>
      </c>
      <c r="I79" s="12" t="s">
        <v>1028</v>
      </c>
      <c r="J79" s="12" t="s">
        <v>543</v>
      </c>
      <c r="K79" s="12" t="s">
        <v>996</v>
      </c>
      <c r="L79" s="12"/>
    </row>
    <row r="80" ht="39.0" customHeight="1">
      <c r="A80" s="12">
        <v>78.0</v>
      </c>
      <c r="B80" s="12" t="s">
        <v>519</v>
      </c>
      <c r="C80" s="12" t="s">
        <v>528</v>
      </c>
      <c r="D80" s="12" t="s">
        <v>1030</v>
      </c>
      <c r="E80" s="12" t="s">
        <v>297</v>
      </c>
      <c r="F80" s="12" t="s">
        <v>328</v>
      </c>
      <c r="G80" s="12"/>
      <c r="H80" s="12" t="s">
        <v>537</v>
      </c>
      <c r="I80" s="12" t="s">
        <v>727</v>
      </c>
      <c r="J80" s="12" t="s">
        <v>543</v>
      </c>
      <c r="K80" s="12" t="s">
        <v>996</v>
      </c>
      <c r="L80" s="12"/>
    </row>
    <row r="81" ht="39.0" customHeight="1">
      <c r="A81" s="12">
        <v>79.0</v>
      </c>
      <c r="B81" s="12" t="s">
        <v>519</v>
      </c>
      <c r="C81" s="12" t="s">
        <v>528</v>
      </c>
      <c r="D81" s="12" t="s">
        <v>1033</v>
      </c>
      <c r="E81" s="12" t="s">
        <v>130</v>
      </c>
      <c r="F81" s="12" t="s">
        <v>579</v>
      </c>
      <c r="G81" s="12"/>
      <c r="H81" s="12" t="s">
        <v>537</v>
      </c>
      <c r="I81" s="12" t="s">
        <v>1034</v>
      </c>
      <c r="J81" s="12" t="s">
        <v>543</v>
      </c>
      <c r="K81" s="12" t="s">
        <v>996</v>
      </c>
      <c r="L81" s="12"/>
    </row>
    <row r="82" ht="39.0" customHeight="1">
      <c r="A82" s="12">
        <v>80.0</v>
      </c>
      <c r="B82" s="12" t="s">
        <v>519</v>
      </c>
      <c r="C82" s="12" t="s">
        <v>528</v>
      </c>
      <c r="D82" s="12" t="s">
        <v>1033</v>
      </c>
      <c r="E82" s="12" t="s">
        <v>130</v>
      </c>
      <c r="F82" s="12" t="s">
        <v>579</v>
      </c>
      <c r="G82" s="12" t="s">
        <v>328</v>
      </c>
      <c r="H82" s="12" t="s">
        <v>537</v>
      </c>
      <c r="I82" s="12" t="s">
        <v>1037</v>
      </c>
      <c r="J82" s="12" t="s">
        <v>543</v>
      </c>
      <c r="K82" s="12" t="s">
        <v>996</v>
      </c>
      <c r="L82" s="12"/>
    </row>
    <row r="83" ht="39.0" customHeight="1">
      <c r="A83" s="12">
        <v>81.0</v>
      </c>
      <c r="B83" s="12" t="s">
        <v>519</v>
      </c>
      <c r="C83" s="12" t="s">
        <v>528</v>
      </c>
      <c r="D83" s="12" t="s">
        <v>1039</v>
      </c>
      <c r="E83" s="12" t="s">
        <v>339</v>
      </c>
      <c r="F83" s="12" t="s">
        <v>361</v>
      </c>
      <c r="G83" s="12"/>
      <c r="H83" s="12" t="s">
        <v>537</v>
      </c>
      <c r="I83" s="12" t="s">
        <v>1041</v>
      </c>
      <c r="J83" s="12" t="s">
        <v>543</v>
      </c>
      <c r="K83" s="12" t="s">
        <v>996</v>
      </c>
      <c r="L83" s="12"/>
    </row>
    <row r="84" ht="39.0" customHeight="1">
      <c r="A84" s="12">
        <v>82.0</v>
      </c>
      <c r="B84" s="12" t="s">
        <v>519</v>
      </c>
      <c r="C84" s="12" t="s">
        <v>528</v>
      </c>
      <c r="D84" s="12" t="s">
        <v>1043</v>
      </c>
      <c r="E84" s="12" t="s">
        <v>567</v>
      </c>
      <c r="F84" s="12" t="s">
        <v>118</v>
      </c>
      <c r="G84" s="12" t="s">
        <v>579</v>
      </c>
      <c r="H84" s="12" t="s">
        <v>570</v>
      </c>
      <c r="I84" s="12" t="s">
        <v>779</v>
      </c>
      <c r="J84" s="12" t="s">
        <v>543</v>
      </c>
      <c r="K84" s="12" t="s">
        <v>996</v>
      </c>
      <c r="L84" s="12"/>
    </row>
    <row r="85" ht="39.0" customHeight="1">
      <c r="A85" s="12">
        <v>83.0</v>
      </c>
      <c r="B85" s="12" t="s">
        <v>519</v>
      </c>
      <c r="C85" s="12" t="s">
        <v>528</v>
      </c>
      <c r="D85" s="12" t="s">
        <v>1043</v>
      </c>
      <c r="E85" s="12" t="s">
        <v>236</v>
      </c>
      <c r="F85" s="12" t="s">
        <v>237</v>
      </c>
      <c r="G85" s="12"/>
      <c r="H85" s="12" t="s">
        <v>537</v>
      </c>
      <c r="I85" s="12" t="s">
        <v>787</v>
      </c>
      <c r="J85" s="12" t="s">
        <v>543</v>
      </c>
      <c r="K85" s="12" t="s">
        <v>996</v>
      </c>
      <c r="L85" s="12"/>
    </row>
    <row r="86" ht="39.0" customHeight="1">
      <c r="A86" s="12">
        <v>84.0</v>
      </c>
      <c r="B86" s="12" t="s">
        <v>519</v>
      </c>
      <c r="C86" s="12" t="s">
        <v>528</v>
      </c>
      <c r="D86" s="12" t="s">
        <v>1048</v>
      </c>
      <c r="E86" s="12" t="s">
        <v>183</v>
      </c>
      <c r="F86" s="12" t="s">
        <v>197</v>
      </c>
      <c r="G86" s="12" t="s">
        <v>384</v>
      </c>
      <c r="H86" s="12" t="s">
        <v>537</v>
      </c>
      <c r="I86" s="12" t="s">
        <v>796</v>
      </c>
      <c r="J86" s="12" t="s">
        <v>543</v>
      </c>
      <c r="K86" s="12" t="s">
        <v>996</v>
      </c>
      <c r="L86" s="12"/>
    </row>
    <row r="87" ht="39.0" customHeight="1">
      <c r="A87" s="12">
        <v>85.0</v>
      </c>
      <c r="B87" s="12" t="s">
        <v>519</v>
      </c>
      <c r="C87" s="12" t="s">
        <v>528</v>
      </c>
      <c r="D87" s="12" t="s">
        <v>1048</v>
      </c>
      <c r="E87" s="12" t="s">
        <v>297</v>
      </c>
      <c r="F87" s="12" t="s">
        <v>328</v>
      </c>
      <c r="G87" s="12"/>
      <c r="H87" s="12" t="s">
        <v>537</v>
      </c>
      <c r="I87" s="12" t="s">
        <v>806</v>
      </c>
      <c r="J87" s="12" t="s">
        <v>543</v>
      </c>
      <c r="K87" s="12" t="s">
        <v>996</v>
      </c>
      <c r="L87" s="12"/>
    </row>
    <row r="88" ht="39.0" customHeight="1">
      <c r="A88" s="12">
        <v>86.0</v>
      </c>
      <c r="B88" s="12" t="s">
        <v>519</v>
      </c>
      <c r="C88" s="12" t="s">
        <v>528</v>
      </c>
      <c r="D88" s="12" t="s">
        <v>1048</v>
      </c>
      <c r="E88" s="12" t="s">
        <v>567</v>
      </c>
      <c r="F88" s="12" t="s">
        <v>118</v>
      </c>
      <c r="G88" s="12"/>
      <c r="H88" s="12" t="s">
        <v>570</v>
      </c>
      <c r="I88" s="12" t="s">
        <v>812</v>
      </c>
      <c r="J88" s="12" t="s">
        <v>543</v>
      </c>
      <c r="K88" s="12" t="s">
        <v>996</v>
      </c>
      <c r="L88" s="12"/>
    </row>
    <row r="89" ht="39.0" customHeight="1">
      <c r="A89" s="12">
        <v>87.0</v>
      </c>
      <c r="B89" s="12" t="s">
        <v>519</v>
      </c>
      <c r="C89" s="12" t="s">
        <v>528</v>
      </c>
      <c r="D89" s="12" t="s">
        <v>1055</v>
      </c>
      <c r="E89" s="12" t="s">
        <v>567</v>
      </c>
      <c r="F89" s="12" t="s">
        <v>718</v>
      </c>
      <c r="G89" s="12"/>
      <c r="H89" s="12" t="s">
        <v>537</v>
      </c>
      <c r="I89" s="12" t="s">
        <v>1056</v>
      </c>
      <c r="J89" s="12" t="s">
        <v>543</v>
      </c>
      <c r="K89" s="12" t="s">
        <v>996</v>
      </c>
      <c r="L89" s="12"/>
    </row>
    <row r="90" ht="39.0" customHeight="1">
      <c r="A90" s="12">
        <v>88.0</v>
      </c>
      <c r="B90" s="12" t="s">
        <v>519</v>
      </c>
      <c r="C90" s="12" t="s">
        <v>528</v>
      </c>
      <c r="D90" s="12" t="s">
        <v>1055</v>
      </c>
      <c r="E90" s="12" t="s">
        <v>567</v>
      </c>
      <c r="F90" s="12" t="s">
        <v>704</v>
      </c>
      <c r="G90" s="12"/>
      <c r="H90" s="12" t="s">
        <v>537</v>
      </c>
      <c r="I90" s="12" t="s">
        <v>819</v>
      </c>
      <c r="J90" s="12" t="s">
        <v>543</v>
      </c>
      <c r="K90" s="12" t="s">
        <v>996</v>
      </c>
      <c r="L90" s="12"/>
    </row>
    <row r="91" ht="39.0" customHeight="1">
      <c r="A91" s="12">
        <v>89.0</v>
      </c>
      <c r="B91" s="12" t="s">
        <v>519</v>
      </c>
      <c r="C91" s="12" t="s">
        <v>528</v>
      </c>
      <c r="D91" s="12" t="s">
        <v>1061</v>
      </c>
      <c r="E91" s="12" t="s">
        <v>130</v>
      </c>
      <c r="F91" s="12" t="s">
        <v>769</v>
      </c>
      <c r="G91" s="12"/>
      <c r="H91" s="12" t="s">
        <v>537</v>
      </c>
      <c r="I91" s="22" t="s">
        <v>1062</v>
      </c>
      <c r="J91" s="12" t="s">
        <v>543</v>
      </c>
      <c r="K91" s="12" t="s">
        <v>996</v>
      </c>
      <c r="L91" s="12"/>
    </row>
    <row r="92" ht="39.0" customHeight="1">
      <c r="A92" s="12">
        <v>57.0</v>
      </c>
      <c r="B92" s="12"/>
      <c r="C92" s="12" t="s">
        <v>528</v>
      </c>
      <c r="D92" s="12"/>
      <c r="E92" s="12"/>
      <c r="F92" s="12"/>
      <c r="G92" s="12"/>
      <c r="H92" s="12" t="s">
        <v>537</v>
      </c>
      <c r="I92" s="12"/>
      <c r="J92" s="12" t="s">
        <v>543</v>
      </c>
      <c r="K92" s="12"/>
      <c r="L92" s="12"/>
    </row>
    <row r="93" ht="19.5" customHeight="1">
      <c r="A93" s="12"/>
      <c r="B93" s="12"/>
      <c r="C93" s="12" t="s">
        <v>528</v>
      </c>
      <c r="D93" s="12"/>
      <c r="E93" s="12"/>
      <c r="F93" s="12"/>
      <c r="G93" s="12"/>
      <c r="H93" s="12"/>
      <c r="I93" s="12"/>
      <c r="J93" s="12"/>
      <c r="K93" s="12"/>
      <c r="L93" s="12"/>
    </row>
    <row r="94" ht="19.5" customHeight="1">
      <c r="A94" s="12"/>
      <c r="B94" s="12"/>
      <c r="C94" s="12"/>
      <c r="D94" s="12"/>
      <c r="E94" s="12"/>
      <c r="F94" s="12"/>
      <c r="G94" s="12"/>
      <c r="H94" s="12"/>
      <c r="I94" s="12"/>
      <c r="J94" s="12"/>
      <c r="K94" s="12"/>
      <c r="L94" s="12"/>
    </row>
    <row r="95" ht="19.5" customHeight="1">
      <c r="A95" s="12"/>
      <c r="B95" s="12"/>
      <c r="C95" s="12"/>
      <c r="D95" s="12"/>
      <c r="E95" s="12"/>
      <c r="F95" s="12"/>
      <c r="G95" s="12"/>
      <c r="H95" s="12"/>
      <c r="I95" s="12"/>
      <c r="J95" s="12"/>
      <c r="K95" s="12"/>
      <c r="L95" s="12"/>
    </row>
    <row r="96" ht="19.5" customHeight="1">
      <c r="A96" s="12"/>
      <c r="B96" s="12"/>
      <c r="C96" s="12"/>
      <c r="D96" s="12"/>
      <c r="E96" s="12"/>
      <c r="F96" s="12"/>
      <c r="G96" s="12"/>
      <c r="H96" s="12"/>
      <c r="I96" s="12"/>
      <c r="J96" s="12"/>
      <c r="K96" s="12"/>
      <c r="L96" s="12"/>
    </row>
    <row r="97" ht="19.5" customHeight="1">
      <c r="A97" s="12"/>
      <c r="B97" s="12"/>
      <c r="C97" s="12"/>
      <c r="D97" s="12"/>
      <c r="E97" s="12"/>
      <c r="F97" s="12"/>
      <c r="G97" s="12"/>
      <c r="H97" s="12"/>
      <c r="I97" s="12"/>
      <c r="J97" s="12"/>
      <c r="K97" s="12"/>
      <c r="L97" s="12"/>
    </row>
    <row r="98" ht="19.5" customHeight="1">
      <c r="A98" s="12"/>
      <c r="B98" s="12"/>
      <c r="C98" s="12"/>
      <c r="D98" s="12"/>
      <c r="E98" s="12"/>
      <c r="F98" s="12"/>
      <c r="G98" s="12"/>
      <c r="H98" s="12"/>
      <c r="I98" s="12"/>
      <c r="J98" s="12"/>
      <c r="K98" s="12"/>
      <c r="L98" s="12"/>
    </row>
    <row r="99" ht="19.5" customHeight="1">
      <c r="A99" s="12"/>
      <c r="B99" s="12"/>
      <c r="C99" s="12"/>
      <c r="D99" s="12"/>
      <c r="E99" s="12"/>
      <c r="F99" s="12"/>
      <c r="G99" s="12"/>
      <c r="H99" s="12"/>
      <c r="I99" s="12"/>
      <c r="J99" s="12"/>
      <c r="K99" s="12"/>
      <c r="L99" s="12"/>
    </row>
    <row r="100" ht="19.5" customHeight="1">
      <c r="A100" s="12"/>
      <c r="B100" s="12"/>
      <c r="C100" s="12"/>
      <c r="D100" s="12"/>
      <c r="E100" s="12"/>
      <c r="F100" s="12"/>
      <c r="G100" s="12"/>
      <c r="H100" s="12"/>
      <c r="I100" s="12"/>
      <c r="J100" s="12"/>
      <c r="K100" s="12"/>
      <c r="L100" s="12"/>
    </row>
    <row r="101" ht="19.5" customHeight="1">
      <c r="A101" s="12"/>
      <c r="B101" s="12"/>
      <c r="C101" s="12"/>
      <c r="D101" s="12"/>
      <c r="E101" s="12"/>
      <c r="F101" s="12"/>
      <c r="G101" s="12"/>
      <c r="H101" s="12"/>
      <c r="I101" s="12"/>
      <c r="J101" s="12"/>
      <c r="K101" s="12"/>
      <c r="L101" s="12"/>
    </row>
    <row r="102" ht="19.5" customHeight="1">
      <c r="A102" s="12"/>
      <c r="B102" s="12"/>
      <c r="C102" s="12"/>
      <c r="D102" s="12"/>
      <c r="E102" s="12"/>
      <c r="F102" s="12"/>
      <c r="G102" s="12"/>
      <c r="H102" s="12"/>
      <c r="I102" s="12"/>
      <c r="J102" s="12"/>
      <c r="K102" s="12"/>
      <c r="L102" s="12"/>
    </row>
    <row r="103" ht="15.75" customHeight="1"/>
    <row r="104" ht="15.75" customHeight="1">
      <c r="A104" s="27" t="s">
        <v>1092</v>
      </c>
      <c r="B104" s="20"/>
      <c r="C104" s="20"/>
      <c r="D104" s="20"/>
      <c r="E104" s="20"/>
      <c r="F104" s="20"/>
      <c r="G104" s="20"/>
      <c r="H104" s="20"/>
      <c r="I104" s="2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02"/>
  <mergeCells count="1">
    <mergeCell ref="A104:I104"/>
  </mergeCells>
  <dataValidations>
    <dataValidation type="list" allowBlank="1" sqref="H2:H102">
      <formula1>"Yes,No,n.a."</formula1>
    </dataValidation>
    <dataValidation type="list" allowBlank="1" sqref="C2:C102">
      <formula1>"AUD,TRN,SUM"</formula1>
    </dataValidation>
  </dataValidations>
  <printOptions/>
  <pageMargins bottom="1.0" footer="0.0" header="0.0" left="0.75" right="0.75" top="1.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1.0"/>
    <col customWidth="1" min="2" max="2" width="40.0"/>
    <col customWidth="1" min="3" max="3" width="8.0"/>
    <col customWidth="1" min="4" max="4" width="20.0"/>
    <col customWidth="1" min="5" max="5" width="10.0"/>
    <col customWidth="1" min="6" max="7" width="22.0"/>
    <col customWidth="1" min="8" max="8" width="13.0"/>
    <col customWidth="1" min="9" max="9" width="66.0"/>
    <col customWidth="1" min="10" max="11" width="12.0"/>
    <col customWidth="1" min="12" max="12" width="34.0"/>
    <col customWidth="1" min="13" max="26" width="14.0"/>
  </cols>
  <sheetData>
    <row r="1" ht="31.5" customHeight="1">
      <c r="A1" s="2" t="s">
        <v>493</v>
      </c>
      <c r="B1" s="2" t="s">
        <v>494</v>
      </c>
      <c r="C1" s="2" t="s">
        <v>495</v>
      </c>
      <c r="D1" s="2" t="s">
        <v>497</v>
      </c>
      <c r="E1" s="2" t="s">
        <v>12</v>
      </c>
      <c r="F1" s="2" t="s">
        <v>18</v>
      </c>
      <c r="G1" s="2" t="s">
        <v>502</v>
      </c>
      <c r="H1" s="2" t="s">
        <v>101</v>
      </c>
      <c r="I1" s="2" t="s">
        <v>507</v>
      </c>
      <c r="J1" s="2" t="s">
        <v>509</v>
      </c>
      <c r="K1" s="2" t="s">
        <v>17</v>
      </c>
      <c r="L1" s="2" t="s">
        <v>511</v>
      </c>
    </row>
    <row r="2" ht="39.0" customHeight="1">
      <c r="A2" s="12">
        <v>1.0</v>
      </c>
      <c r="B2" s="12" t="s">
        <v>519</v>
      </c>
      <c r="C2" s="12" t="s">
        <v>528</v>
      </c>
      <c r="D2" s="12" t="s">
        <v>531</v>
      </c>
      <c r="E2" s="12" t="s">
        <v>183</v>
      </c>
      <c r="F2" s="12" t="s">
        <v>216</v>
      </c>
      <c r="G2" s="12"/>
      <c r="H2" s="12" t="s">
        <v>537</v>
      </c>
      <c r="I2" s="12" t="s">
        <v>540</v>
      </c>
      <c r="J2" s="12" t="s">
        <v>544</v>
      </c>
      <c r="K2" s="12" t="s">
        <v>546</v>
      </c>
      <c r="L2" s="12" t="s">
        <v>547</v>
      </c>
    </row>
    <row r="3" ht="39.0" customHeight="1">
      <c r="A3" s="12">
        <v>2.0</v>
      </c>
      <c r="B3" s="12" t="s">
        <v>519</v>
      </c>
      <c r="C3" s="12" t="s">
        <v>528</v>
      </c>
      <c r="D3" s="12" t="s">
        <v>531</v>
      </c>
      <c r="E3" s="12" t="s">
        <v>236</v>
      </c>
      <c r="F3" s="12" t="s">
        <v>237</v>
      </c>
      <c r="G3" s="12" t="s">
        <v>262</v>
      </c>
      <c r="H3" s="12" t="s">
        <v>537</v>
      </c>
      <c r="I3" s="12" t="s">
        <v>559</v>
      </c>
      <c r="J3" s="12" t="s">
        <v>544</v>
      </c>
      <c r="K3" s="12" t="s">
        <v>546</v>
      </c>
      <c r="L3" s="12" t="s">
        <v>564</v>
      </c>
    </row>
    <row r="4" ht="39.0" customHeight="1">
      <c r="A4" s="12">
        <v>3.0</v>
      </c>
      <c r="B4" s="12" t="s">
        <v>519</v>
      </c>
      <c r="C4" s="12" t="s">
        <v>528</v>
      </c>
      <c r="D4" s="12" t="s">
        <v>573</v>
      </c>
      <c r="E4" s="12" t="s">
        <v>183</v>
      </c>
      <c r="F4" s="12" t="s">
        <v>226</v>
      </c>
      <c r="G4" s="12"/>
      <c r="H4" s="12" t="s">
        <v>537</v>
      </c>
      <c r="I4" s="12" t="s">
        <v>576</v>
      </c>
      <c r="J4" s="12" t="s">
        <v>544</v>
      </c>
      <c r="K4" s="12" t="s">
        <v>546</v>
      </c>
      <c r="L4" s="12" t="s">
        <v>580</v>
      </c>
    </row>
    <row r="5" ht="39.0" customHeight="1">
      <c r="A5" s="12">
        <v>4.0</v>
      </c>
      <c r="B5" s="12" t="s">
        <v>519</v>
      </c>
      <c r="C5" s="12" t="s">
        <v>528</v>
      </c>
      <c r="D5" s="12" t="s">
        <v>587</v>
      </c>
      <c r="E5" s="12" t="s">
        <v>183</v>
      </c>
      <c r="F5" s="12" t="s">
        <v>216</v>
      </c>
      <c r="G5" s="12"/>
      <c r="H5" s="12" t="s">
        <v>537</v>
      </c>
      <c r="I5" s="12" t="s">
        <v>595</v>
      </c>
      <c r="J5" s="12" t="s">
        <v>544</v>
      </c>
      <c r="K5" s="12" t="s">
        <v>546</v>
      </c>
      <c r="L5" s="12" t="s">
        <v>596</v>
      </c>
    </row>
    <row r="6" ht="39.0" customHeight="1">
      <c r="A6" s="12">
        <v>5.0</v>
      </c>
      <c r="B6" s="12" t="s">
        <v>519</v>
      </c>
      <c r="C6" s="12" t="s">
        <v>528</v>
      </c>
      <c r="D6" s="12" t="s">
        <v>587</v>
      </c>
      <c r="E6" s="12" t="s">
        <v>567</v>
      </c>
      <c r="F6" s="12" t="s">
        <v>118</v>
      </c>
      <c r="G6" s="12"/>
      <c r="H6" s="12" t="s">
        <v>570</v>
      </c>
      <c r="I6" s="12" t="s">
        <v>595</v>
      </c>
      <c r="J6" s="12" t="s">
        <v>544</v>
      </c>
      <c r="K6" s="12" t="s">
        <v>546</v>
      </c>
      <c r="L6" s="12" t="s">
        <v>611</v>
      </c>
    </row>
    <row r="7" ht="39.0" customHeight="1">
      <c r="A7" s="12">
        <v>6.0</v>
      </c>
      <c r="B7" s="12" t="s">
        <v>519</v>
      </c>
      <c r="C7" s="12" t="s">
        <v>528</v>
      </c>
      <c r="D7" s="12" t="s">
        <v>615</v>
      </c>
      <c r="E7" s="12" t="s">
        <v>183</v>
      </c>
      <c r="F7" s="12" t="s">
        <v>207</v>
      </c>
      <c r="G7" s="12" t="s">
        <v>197</v>
      </c>
      <c r="H7" s="12" t="s">
        <v>537</v>
      </c>
      <c r="I7" s="12" t="s">
        <v>624</v>
      </c>
      <c r="J7" s="12" t="s">
        <v>544</v>
      </c>
      <c r="K7" s="12" t="s">
        <v>546</v>
      </c>
      <c r="L7" s="12" t="s">
        <v>628</v>
      </c>
    </row>
    <row r="8" ht="39.0" customHeight="1">
      <c r="A8" s="12">
        <v>7.0</v>
      </c>
      <c r="B8" s="12" t="s">
        <v>519</v>
      </c>
      <c r="C8" s="12" t="s">
        <v>528</v>
      </c>
      <c r="D8" s="12" t="s">
        <v>615</v>
      </c>
      <c r="E8" s="12" t="s">
        <v>236</v>
      </c>
      <c r="F8" s="12" t="s">
        <v>237</v>
      </c>
      <c r="G8" s="12"/>
      <c r="H8" s="12" t="s">
        <v>537</v>
      </c>
      <c r="I8" s="12" t="s">
        <v>639</v>
      </c>
      <c r="J8" s="12" t="s">
        <v>544</v>
      </c>
      <c r="K8" s="12" t="s">
        <v>546</v>
      </c>
      <c r="L8" s="12" t="s">
        <v>644</v>
      </c>
    </row>
    <row r="9" ht="39.0" customHeight="1">
      <c r="A9" s="12">
        <v>8.0</v>
      </c>
      <c r="B9" s="12" t="s">
        <v>519</v>
      </c>
      <c r="C9" s="12" t="s">
        <v>528</v>
      </c>
      <c r="D9" s="12" t="s">
        <v>650</v>
      </c>
      <c r="E9" s="12" t="s">
        <v>183</v>
      </c>
      <c r="F9" s="12" t="s">
        <v>197</v>
      </c>
      <c r="G9" s="12" t="s">
        <v>393</v>
      </c>
      <c r="H9" s="12" t="s">
        <v>537</v>
      </c>
      <c r="I9" s="12" t="s">
        <v>655</v>
      </c>
      <c r="J9" s="12" t="s">
        <v>544</v>
      </c>
      <c r="K9" s="12" t="s">
        <v>546</v>
      </c>
      <c r="L9" s="12" t="s">
        <v>660</v>
      </c>
    </row>
    <row r="10" ht="39.0" customHeight="1">
      <c r="A10" s="12">
        <v>9.0</v>
      </c>
      <c r="B10" s="12" t="s">
        <v>519</v>
      </c>
      <c r="C10" s="12" t="s">
        <v>528</v>
      </c>
      <c r="D10" s="12" t="s">
        <v>667</v>
      </c>
      <c r="E10" s="12" t="s">
        <v>236</v>
      </c>
      <c r="F10" s="12" t="s">
        <v>237</v>
      </c>
      <c r="G10" s="12" t="s">
        <v>273</v>
      </c>
      <c r="H10" s="12" t="s">
        <v>537</v>
      </c>
      <c r="I10" s="12" t="s">
        <v>670</v>
      </c>
      <c r="J10" s="12" t="s">
        <v>544</v>
      </c>
      <c r="K10" s="12" t="s">
        <v>546</v>
      </c>
      <c r="L10" s="12" t="s">
        <v>671</v>
      </c>
    </row>
    <row r="11" ht="39.0" customHeight="1">
      <c r="A11" s="12">
        <v>10.0</v>
      </c>
      <c r="B11" s="12" t="s">
        <v>519</v>
      </c>
      <c r="C11" s="12" t="s">
        <v>528</v>
      </c>
      <c r="D11" s="12" t="s">
        <v>676</v>
      </c>
      <c r="E11" s="12" t="s">
        <v>130</v>
      </c>
      <c r="F11" s="12" t="s">
        <v>680</v>
      </c>
      <c r="G11" s="12"/>
      <c r="H11" s="12" t="s">
        <v>537</v>
      </c>
      <c r="I11" s="12" t="s">
        <v>685</v>
      </c>
      <c r="J11" s="12" t="s">
        <v>544</v>
      </c>
      <c r="K11" s="12" t="s">
        <v>546</v>
      </c>
      <c r="L11" s="12" t="s">
        <v>688</v>
      </c>
    </row>
    <row r="12" ht="39.0" customHeight="1">
      <c r="A12" s="12">
        <v>11.0</v>
      </c>
      <c r="B12" s="12" t="s">
        <v>519</v>
      </c>
      <c r="C12" s="12" t="s">
        <v>528</v>
      </c>
      <c r="D12" s="12" t="s">
        <v>676</v>
      </c>
      <c r="E12" s="12" t="s">
        <v>236</v>
      </c>
      <c r="F12" s="12" t="s">
        <v>237</v>
      </c>
      <c r="G12" s="12" t="s">
        <v>197</v>
      </c>
      <c r="H12" s="12" t="s">
        <v>537</v>
      </c>
      <c r="I12" s="12" t="s">
        <v>700</v>
      </c>
      <c r="J12" s="12" t="s">
        <v>544</v>
      </c>
      <c r="K12" s="12" t="s">
        <v>546</v>
      </c>
      <c r="L12" s="12" t="s">
        <v>702</v>
      </c>
    </row>
    <row r="13" ht="39.0" customHeight="1">
      <c r="A13" s="12">
        <v>12.0</v>
      </c>
      <c r="B13" s="12" t="s">
        <v>519</v>
      </c>
      <c r="C13" s="12" t="s">
        <v>528</v>
      </c>
      <c r="D13" s="12" t="s">
        <v>711</v>
      </c>
      <c r="E13" s="12" t="s">
        <v>183</v>
      </c>
      <c r="F13" s="12" t="s">
        <v>207</v>
      </c>
      <c r="G13" s="12"/>
      <c r="H13" s="12" t="s">
        <v>537</v>
      </c>
      <c r="I13" s="12" t="s">
        <v>717</v>
      </c>
      <c r="J13" s="12" t="s">
        <v>544</v>
      </c>
      <c r="K13" s="12" t="s">
        <v>546</v>
      </c>
      <c r="L13" s="12" t="s">
        <v>721</v>
      </c>
    </row>
    <row r="14" ht="39.0" customHeight="1">
      <c r="A14" s="12">
        <v>13.0</v>
      </c>
      <c r="B14" s="12" t="s">
        <v>519</v>
      </c>
      <c r="C14" s="12" t="s">
        <v>528</v>
      </c>
      <c r="D14" s="12" t="s">
        <v>723</v>
      </c>
      <c r="E14" s="12" t="s">
        <v>297</v>
      </c>
      <c r="F14" s="12" t="s">
        <v>328</v>
      </c>
      <c r="G14" s="12"/>
      <c r="H14" s="12" t="s">
        <v>537</v>
      </c>
      <c r="I14" s="12" t="s">
        <v>727</v>
      </c>
      <c r="J14" s="12" t="s">
        <v>544</v>
      </c>
      <c r="K14" s="12" t="s">
        <v>546</v>
      </c>
      <c r="L14" s="12" t="s">
        <v>731</v>
      </c>
    </row>
    <row r="15" ht="39.0" customHeight="1">
      <c r="A15" s="12">
        <v>14.0</v>
      </c>
      <c r="B15" s="12" t="s">
        <v>519</v>
      </c>
      <c r="C15" s="12" t="s">
        <v>528</v>
      </c>
      <c r="D15" s="12" t="s">
        <v>738</v>
      </c>
      <c r="E15" s="12" t="s">
        <v>130</v>
      </c>
      <c r="F15" s="12" t="s">
        <v>579</v>
      </c>
      <c r="G15" s="12" t="s">
        <v>328</v>
      </c>
      <c r="H15" s="12" t="s">
        <v>537</v>
      </c>
      <c r="I15" s="12" t="s">
        <v>743</v>
      </c>
      <c r="J15" s="12" t="s">
        <v>544</v>
      </c>
      <c r="K15" s="12" t="s">
        <v>546</v>
      </c>
      <c r="L15" s="12" t="s">
        <v>748</v>
      </c>
    </row>
    <row r="16" ht="39.0" customHeight="1">
      <c r="A16" s="12">
        <v>15.0</v>
      </c>
      <c r="B16" s="12" t="s">
        <v>519</v>
      </c>
      <c r="C16" s="12" t="s">
        <v>528</v>
      </c>
      <c r="D16" s="12" t="s">
        <v>754</v>
      </c>
      <c r="E16" s="12" t="s">
        <v>339</v>
      </c>
      <c r="F16" s="12" t="s">
        <v>361</v>
      </c>
      <c r="G16" s="12"/>
      <c r="H16" s="12" t="s">
        <v>537</v>
      </c>
      <c r="I16" s="12" t="s">
        <v>762</v>
      </c>
      <c r="J16" s="12" t="s">
        <v>544</v>
      </c>
      <c r="K16" s="12" t="s">
        <v>546</v>
      </c>
      <c r="L16" s="12" t="s">
        <v>766</v>
      </c>
    </row>
    <row r="17" ht="39.0" customHeight="1">
      <c r="A17" s="12">
        <v>16.0</v>
      </c>
      <c r="B17" s="12" t="s">
        <v>519</v>
      </c>
      <c r="C17" s="12" t="s">
        <v>528</v>
      </c>
      <c r="D17" s="12" t="s">
        <v>772</v>
      </c>
      <c r="E17" s="12" t="s">
        <v>567</v>
      </c>
      <c r="F17" s="12" t="s">
        <v>118</v>
      </c>
      <c r="G17" s="12"/>
      <c r="H17" s="12" t="s">
        <v>570</v>
      </c>
      <c r="I17" s="12" t="s">
        <v>779</v>
      </c>
      <c r="J17" s="12" t="s">
        <v>544</v>
      </c>
      <c r="K17" s="12" t="s">
        <v>546</v>
      </c>
      <c r="L17" s="12" t="s">
        <v>781</v>
      </c>
    </row>
    <row r="18" ht="39.0" customHeight="1">
      <c r="A18" s="12">
        <v>17.0</v>
      </c>
      <c r="B18" s="12" t="s">
        <v>519</v>
      </c>
      <c r="C18" s="12" t="s">
        <v>528</v>
      </c>
      <c r="D18" s="12" t="s">
        <v>772</v>
      </c>
      <c r="E18" s="12" t="s">
        <v>236</v>
      </c>
      <c r="F18" s="12" t="s">
        <v>237</v>
      </c>
      <c r="G18" s="12"/>
      <c r="H18" s="12" t="s">
        <v>537</v>
      </c>
      <c r="I18" s="12" t="s">
        <v>787</v>
      </c>
      <c r="J18" s="12" t="s">
        <v>544</v>
      </c>
      <c r="K18" s="12" t="s">
        <v>546</v>
      </c>
      <c r="L18" s="12" t="s">
        <v>788</v>
      </c>
    </row>
    <row r="19" ht="39.0" customHeight="1">
      <c r="A19" s="12">
        <v>18.0</v>
      </c>
      <c r="B19" s="12" t="s">
        <v>519</v>
      </c>
      <c r="C19" s="12" t="s">
        <v>528</v>
      </c>
      <c r="D19" s="12" t="s">
        <v>791</v>
      </c>
      <c r="E19" s="12" t="s">
        <v>183</v>
      </c>
      <c r="F19" s="12" t="s">
        <v>197</v>
      </c>
      <c r="G19" s="12" t="s">
        <v>384</v>
      </c>
      <c r="H19" s="12" t="s">
        <v>537</v>
      </c>
      <c r="I19" s="12" t="s">
        <v>796</v>
      </c>
      <c r="J19" s="12" t="s">
        <v>544</v>
      </c>
      <c r="K19" s="12" t="s">
        <v>546</v>
      </c>
      <c r="L19" s="12" t="s">
        <v>799</v>
      </c>
    </row>
    <row r="20" ht="39.0" customHeight="1">
      <c r="A20" s="12">
        <v>19.0</v>
      </c>
      <c r="B20" s="12" t="s">
        <v>519</v>
      </c>
      <c r="C20" s="12" t="s">
        <v>528</v>
      </c>
      <c r="D20" s="12" t="s">
        <v>791</v>
      </c>
      <c r="E20" s="12" t="s">
        <v>297</v>
      </c>
      <c r="F20" s="12" t="s">
        <v>328</v>
      </c>
      <c r="G20" s="12"/>
      <c r="H20" s="12" t="s">
        <v>537</v>
      </c>
      <c r="I20" s="12" t="s">
        <v>806</v>
      </c>
      <c r="J20" s="12" t="s">
        <v>544</v>
      </c>
      <c r="K20" s="12" t="s">
        <v>546</v>
      </c>
      <c r="L20" s="12" t="s">
        <v>807</v>
      </c>
    </row>
    <row r="21" ht="39.0" customHeight="1">
      <c r="A21" s="12">
        <v>20.0</v>
      </c>
      <c r="B21" s="12" t="s">
        <v>519</v>
      </c>
      <c r="C21" s="12" t="s">
        <v>528</v>
      </c>
      <c r="D21" s="12" t="s">
        <v>791</v>
      </c>
      <c r="E21" s="12" t="s">
        <v>567</v>
      </c>
      <c r="F21" s="12" t="s">
        <v>118</v>
      </c>
      <c r="G21" s="12"/>
      <c r="H21" s="12" t="s">
        <v>570</v>
      </c>
      <c r="I21" s="12" t="s">
        <v>812</v>
      </c>
      <c r="J21" s="12" t="s">
        <v>544</v>
      </c>
      <c r="K21" s="12" t="s">
        <v>546</v>
      </c>
      <c r="L21" s="12" t="s">
        <v>814</v>
      </c>
    </row>
    <row r="22" ht="39.0" customHeight="1">
      <c r="A22" s="12">
        <v>21.0</v>
      </c>
      <c r="B22" s="12" t="s">
        <v>519</v>
      </c>
      <c r="C22" s="12" t="s">
        <v>528</v>
      </c>
      <c r="D22" s="12" t="s">
        <v>816</v>
      </c>
      <c r="E22" s="12" t="s">
        <v>567</v>
      </c>
      <c r="F22" s="12" t="s">
        <v>704</v>
      </c>
      <c r="G22" s="12"/>
      <c r="H22" s="12" t="s">
        <v>537</v>
      </c>
      <c r="I22" s="12" t="s">
        <v>819</v>
      </c>
      <c r="J22" s="12" t="s">
        <v>544</v>
      </c>
      <c r="K22" s="12" t="s">
        <v>546</v>
      </c>
      <c r="L22" s="12" t="s">
        <v>821</v>
      </c>
    </row>
    <row r="23" ht="39.0" customHeight="1">
      <c r="A23" s="12">
        <v>22.0</v>
      </c>
      <c r="B23" s="12" t="s">
        <v>822</v>
      </c>
      <c r="C23" s="12" t="s">
        <v>528</v>
      </c>
      <c r="D23" s="12" t="s">
        <v>824</v>
      </c>
      <c r="E23" s="12" t="s">
        <v>375</v>
      </c>
      <c r="F23" s="12" t="s">
        <v>393</v>
      </c>
      <c r="G23" s="12"/>
      <c r="H23" s="12" t="s">
        <v>537</v>
      </c>
      <c r="I23" s="12" t="s">
        <v>826</v>
      </c>
      <c r="J23" s="12" t="s">
        <v>544</v>
      </c>
      <c r="K23" s="12" t="s">
        <v>546</v>
      </c>
      <c r="L23" s="12" t="s">
        <v>827</v>
      </c>
    </row>
    <row r="24" ht="39.0" customHeight="1">
      <c r="A24" s="12">
        <v>23.0</v>
      </c>
      <c r="B24" s="12" t="s">
        <v>822</v>
      </c>
      <c r="C24" s="12" t="s">
        <v>528</v>
      </c>
      <c r="D24" s="12" t="s">
        <v>830</v>
      </c>
      <c r="E24" s="12" t="s">
        <v>567</v>
      </c>
      <c r="F24" s="12" t="s">
        <v>118</v>
      </c>
      <c r="G24" s="12"/>
      <c r="H24" s="12" t="s">
        <v>570</v>
      </c>
      <c r="I24" s="12" t="s">
        <v>832</v>
      </c>
      <c r="J24" s="12" t="s">
        <v>544</v>
      </c>
      <c r="K24" s="12" t="s">
        <v>546</v>
      </c>
      <c r="L24" s="12" t="s">
        <v>834</v>
      </c>
    </row>
    <row r="25" ht="39.0" customHeight="1">
      <c r="A25" s="12">
        <v>24.0</v>
      </c>
      <c r="B25" s="12" t="s">
        <v>822</v>
      </c>
      <c r="C25" s="12" t="s">
        <v>528</v>
      </c>
      <c r="D25" s="12" t="s">
        <v>837</v>
      </c>
      <c r="E25" s="12" t="s">
        <v>183</v>
      </c>
      <c r="F25" s="12" t="s">
        <v>184</v>
      </c>
      <c r="G25" s="12"/>
      <c r="H25" s="12" t="s">
        <v>537</v>
      </c>
      <c r="I25" s="12" t="s">
        <v>839</v>
      </c>
      <c r="J25" s="12" t="s">
        <v>544</v>
      </c>
      <c r="K25" s="12" t="s">
        <v>546</v>
      </c>
      <c r="L25" s="12" t="s">
        <v>840</v>
      </c>
    </row>
    <row r="26" ht="39.0" customHeight="1">
      <c r="A26" s="12">
        <v>25.0</v>
      </c>
      <c r="B26" s="12" t="s">
        <v>822</v>
      </c>
      <c r="C26" s="12" t="s">
        <v>528</v>
      </c>
      <c r="D26" s="12" t="s">
        <v>842</v>
      </c>
      <c r="E26" s="12" t="s">
        <v>183</v>
      </c>
      <c r="F26" s="12" t="s">
        <v>216</v>
      </c>
      <c r="G26" s="12"/>
      <c r="H26" s="12" t="s">
        <v>537</v>
      </c>
      <c r="I26" s="12" t="s">
        <v>845</v>
      </c>
      <c r="J26" s="12" t="s">
        <v>544</v>
      </c>
      <c r="K26" s="12" t="s">
        <v>546</v>
      </c>
      <c r="L26" s="12" t="s">
        <v>846</v>
      </c>
    </row>
    <row r="27" ht="39.0" customHeight="1">
      <c r="A27" s="12">
        <v>26.0</v>
      </c>
      <c r="B27" s="12" t="s">
        <v>822</v>
      </c>
      <c r="C27" s="12" t="s">
        <v>528</v>
      </c>
      <c r="D27" s="12" t="s">
        <v>848</v>
      </c>
      <c r="E27" s="12" t="s">
        <v>236</v>
      </c>
      <c r="F27" s="12" t="s">
        <v>237</v>
      </c>
      <c r="G27" s="12"/>
      <c r="H27" s="12" t="s">
        <v>537</v>
      </c>
      <c r="I27" s="12" t="s">
        <v>851</v>
      </c>
      <c r="J27" s="12" t="s">
        <v>544</v>
      </c>
      <c r="K27" s="12" t="s">
        <v>546</v>
      </c>
      <c r="L27" s="12" t="s">
        <v>852</v>
      </c>
    </row>
    <row r="28" ht="39.0" customHeight="1">
      <c r="A28" s="12">
        <v>27.0</v>
      </c>
      <c r="B28" s="12" t="s">
        <v>822</v>
      </c>
      <c r="C28" s="12" t="s">
        <v>528</v>
      </c>
      <c r="D28" s="12" t="s">
        <v>854</v>
      </c>
      <c r="E28" s="12" t="s">
        <v>236</v>
      </c>
      <c r="F28" s="12" t="s">
        <v>273</v>
      </c>
      <c r="G28" s="12"/>
      <c r="H28" s="12" t="s">
        <v>537</v>
      </c>
      <c r="I28" s="12" t="s">
        <v>856</v>
      </c>
      <c r="J28" s="12" t="s">
        <v>544</v>
      </c>
      <c r="K28" s="12" t="s">
        <v>546</v>
      </c>
      <c r="L28" s="12" t="s">
        <v>859</v>
      </c>
    </row>
    <row r="29" ht="39.0" customHeight="1">
      <c r="A29" s="12">
        <v>28.0</v>
      </c>
      <c r="B29" s="12" t="s">
        <v>822</v>
      </c>
      <c r="C29" s="12" t="s">
        <v>528</v>
      </c>
      <c r="D29" s="12" t="s">
        <v>861</v>
      </c>
      <c r="E29" s="12" t="s">
        <v>236</v>
      </c>
      <c r="F29" s="12" t="s">
        <v>250</v>
      </c>
      <c r="G29" s="12"/>
      <c r="H29" s="12" t="s">
        <v>537</v>
      </c>
      <c r="I29" s="12" t="s">
        <v>863</v>
      </c>
      <c r="J29" s="12" t="s">
        <v>544</v>
      </c>
      <c r="K29" s="12" t="s">
        <v>546</v>
      </c>
      <c r="L29" s="12" t="s">
        <v>865</v>
      </c>
    </row>
    <row r="30" ht="39.0" customHeight="1">
      <c r="A30" s="12">
        <v>29.0</v>
      </c>
      <c r="B30" s="12" t="s">
        <v>822</v>
      </c>
      <c r="C30" s="12" t="s">
        <v>528</v>
      </c>
      <c r="D30" s="12" t="s">
        <v>867</v>
      </c>
      <c r="E30" s="12" t="s">
        <v>236</v>
      </c>
      <c r="F30" s="12" t="s">
        <v>250</v>
      </c>
      <c r="G30" s="12"/>
      <c r="H30" s="12" t="s">
        <v>537</v>
      </c>
      <c r="I30" s="12" t="s">
        <v>869</v>
      </c>
      <c r="J30" s="12" t="s">
        <v>544</v>
      </c>
      <c r="K30" s="12" t="s">
        <v>546</v>
      </c>
      <c r="L30" s="12" t="s">
        <v>871</v>
      </c>
    </row>
    <row r="31" ht="39.0" customHeight="1">
      <c r="A31" s="12">
        <v>30.0</v>
      </c>
      <c r="B31" s="12" t="s">
        <v>822</v>
      </c>
      <c r="C31" s="12" t="s">
        <v>528</v>
      </c>
      <c r="D31" s="12" t="s">
        <v>874</v>
      </c>
      <c r="E31" s="12" t="s">
        <v>375</v>
      </c>
      <c r="F31" s="12" t="s">
        <v>376</v>
      </c>
      <c r="G31" s="12"/>
      <c r="H31" s="12" t="s">
        <v>537</v>
      </c>
      <c r="I31" s="12" t="s">
        <v>876</v>
      </c>
      <c r="J31" s="12" t="s">
        <v>544</v>
      </c>
      <c r="K31" s="12" t="s">
        <v>546</v>
      </c>
      <c r="L31" s="12" t="s">
        <v>877</v>
      </c>
    </row>
    <row r="32" ht="39.0" customHeight="1">
      <c r="A32" s="12">
        <v>31.0</v>
      </c>
      <c r="B32" s="12" t="s">
        <v>822</v>
      </c>
      <c r="C32" s="12" t="s">
        <v>528</v>
      </c>
      <c r="D32" s="12" t="s">
        <v>880</v>
      </c>
      <c r="E32" s="12" t="s">
        <v>183</v>
      </c>
      <c r="F32" s="12" t="s">
        <v>207</v>
      </c>
      <c r="G32" s="12"/>
      <c r="H32" s="12" t="s">
        <v>537</v>
      </c>
      <c r="I32" s="12" t="s">
        <v>882</v>
      </c>
      <c r="J32" s="12" t="s">
        <v>544</v>
      </c>
      <c r="K32" s="12" t="s">
        <v>546</v>
      </c>
      <c r="L32" s="12" t="s">
        <v>883</v>
      </c>
    </row>
    <row r="33" ht="39.0" customHeight="1">
      <c r="A33" s="12">
        <v>32.0</v>
      </c>
      <c r="B33" s="12" t="s">
        <v>813</v>
      </c>
      <c r="C33" s="12" t="s">
        <v>528</v>
      </c>
      <c r="D33" s="12" t="s">
        <v>815</v>
      </c>
      <c r="E33" s="12" t="s">
        <v>62</v>
      </c>
      <c r="F33" s="12" t="s">
        <v>65</v>
      </c>
      <c r="G33" s="12"/>
      <c r="H33" s="12" t="s">
        <v>537</v>
      </c>
      <c r="I33" s="12" t="s">
        <v>818</v>
      </c>
      <c r="J33" s="12" t="s">
        <v>544</v>
      </c>
      <c r="K33" s="12" t="s">
        <v>546</v>
      </c>
      <c r="L33" s="12" t="s">
        <v>886</v>
      </c>
    </row>
    <row r="34" ht="39.0" customHeight="1">
      <c r="A34" s="12">
        <v>33.0</v>
      </c>
      <c r="B34" s="12" t="s">
        <v>813</v>
      </c>
      <c r="C34" s="12" t="s">
        <v>528</v>
      </c>
      <c r="D34" s="12" t="s">
        <v>820</v>
      </c>
      <c r="E34" s="12" t="s">
        <v>62</v>
      </c>
      <c r="F34" s="12" t="s">
        <v>129</v>
      </c>
      <c r="G34" s="12" t="s">
        <v>447</v>
      </c>
      <c r="H34" s="12" t="s">
        <v>537</v>
      </c>
      <c r="I34" s="12" t="s">
        <v>823</v>
      </c>
      <c r="J34" s="12" t="s">
        <v>544</v>
      </c>
      <c r="K34" s="12" t="s">
        <v>546</v>
      </c>
      <c r="L34" s="12" t="s">
        <v>888</v>
      </c>
    </row>
    <row r="35" ht="39.0" customHeight="1">
      <c r="A35" s="12">
        <v>34.0</v>
      </c>
      <c r="B35" s="12" t="s">
        <v>813</v>
      </c>
      <c r="C35" s="12" t="s">
        <v>528</v>
      </c>
      <c r="D35" s="12" t="s">
        <v>890</v>
      </c>
      <c r="E35" s="12" t="s">
        <v>62</v>
      </c>
      <c r="F35" s="12" t="s">
        <v>65</v>
      </c>
      <c r="G35" s="12"/>
      <c r="H35" s="12" t="s">
        <v>537</v>
      </c>
      <c r="I35" s="12" t="s">
        <v>892</v>
      </c>
      <c r="J35" s="12" t="s">
        <v>544</v>
      </c>
      <c r="K35" s="12" t="s">
        <v>546</v>
      </c>
      <c r="L35" s="12" t="s">
        <v>894</v>
      </c>
    </row>
    <row r="36" ht="39.0" customHeight="1">
      <c r="A36" s="12">
        <v>35.0</v>
      </c>
      <c r="B36" s="12" t="s">
        <v>813</v>
      </c>
      <c r="C36" s="12" t="s">
        <v>528</v>
      </c>
      <c r="D36" s="12" t="s">
        <v>896</v>
      </c>
      <c r="E36" s="12" t="s">
        <v>62</v>
      </c>
      <c r="F36" s="12" t="s">
        <v>65</v>
      </c>
      <c r="G36" s="12" t="s">
        <v>129</v>
      </c>
      <c r="H36" s="12" t="s">
        <v>537</v>
      </c>
      <c r="I36" s="12" t="s">
        <v>898</v>
      </c>
      <c r="J36" s="12" t="s">
        <v>544</v>
      </c>
      <c r="K36" s="12" t="s">
        <v>546</v>
      </c>
      <c r="L36" s="12" t="s">
        <v>899</v>
      </c>
    </row>
    <row r="37" ht="39.0" customHeight="1">
      <c r="A37" s="12">
        <v>36.0</v>
      </c>
      <c r="B37" s="12" t="s">
        <v>813</v>
      </c>
      <c r="C37" s="12" t="s">
        <v>528</v>
      </c>
      <c r="D37" s="12" t="s">
        <v>901</v>
      </c>
      <c r="E37" s="12" t="s">
        <v>62</v>
      </c>
      <c r="F37" s="12" t="s">
        <v>65</v>
      </c>
      <c r="G37" s="12"/>
      <c r="H37" s="12" t="s">
        <v>537</v>
      </c>
      <c r="I37" s="12" t="s">
        <v>904</v>
      </c>
      <c r="J37" s="12" t="s">
        <v>544</v>
      </c>
      <c r="K37" s="12" t="s">
        <v>546</v>
      </c>
      <c r="L37" s="12" t="s">
        <v>905</v>
      </c>
    </row>
    <row r="38" ht="39.0" customHeight="1">
      <c r="A38" s="12">
        <v>37.0</v>
      </c>
      <c r="B38" s="12" t="s">
        <v>813</v>
      </c>
      <c r="C38" s="12" t="s">
        <v>528</v>
      </c>
      <c r="D38" s="12" t="s">
        <v>907</v>
      </c>
      <c r="E38" s="12" t="s">
        <v>62</v>
      </c>
      <c r="F38" s="12" t="s">
        <v>129</v>
      </c>
      <c r="G38" s="12"/>
      <c r="H38" s="12" t="s">
        <v>537</v>
      </c>
      <c r="I38" s="22" t="s">
        <v>910</v>
      </c>
      <c r="J38" s="12" t="s">
        <v>544</v>
      </c>
      <c r="K38" s="12" t="s">
        <v>546</v>
      </c>
      <c r="L38" s="12" t="s">
        <v>912</v>
      </c>
    </row>
    <row r="39" ht="39.0" customHeight="1">
      <c r="A39" s="12">
        <v>38.0</v>
      </c>
      <c r="B39" s="12" t="s">
        <v>813</v>
      </c>
      <c r="C39" s="12" t="s">
        <v>528</v>
      </c>
      <c r="D39" s="12" t="s">
        <v>914</v>
      </c>
      <c r="E39" s="12" t="s">
        <v>62</v>
      </c>
      <c r="F39" s="12" t="s">
        <v>129</v>
      </c>
      <c r="G39" s="12"/>
      <c r="H39" s="12" t="s">
        <v>537</v>
      </c>
      <c r="I39" s="12" t="s">
        <v>916</v>
      </c>
      <c r="J39" s="12" t="s">
        <v>544</v>
      </c>
      <c r="K39" s="12" t="s">
        <v>546</v>
      </c>
      <c r="L39" s="12" t="s">
        <v>918</v>
      </c>
    </row>
    <row r="40" ht="39.0" customHeight="1">
      <c r="A40" s="12">
        <v>39.0</v>
      </c>
      <c r="B40" s="12" t="s">
        <v>813</v>
      </c>
      <c r="C40" s="12" t="s">
        <v>528</v>
      </c>
      <c r="D40" s="12" t="s">
        <v>604</v>
      </c>
      <c r="E40" s="12" t="s">
        <v>62</v>
      </c>
      <c r="F40" s="12" t="s">
        <v>129</v>
      </c>
      <c r="G40" s="12"/>
      <c r="H40" s="12" t="s">
        <v>537</v>
      </c>
      <c r="I40" s="12" t="s">
        <v>920</v>
      </c>
      <c r="J40" s="12" t="s">
        <v>544</v>
      </c>
      <c r="K40" s="12" t="s">
        <v>546</v>
      </c>
      <c r="L40" s="12" t="s">
        <v>922</v>
      </c>
    </row>
    <row r="41" ht="39.0" customHeight="1">
      <c r="A41" s="12">
        <v>40.0</v>
      </c>
      <c r="B41" s="12" t="s">
        <v>813</v>
      </c>
      <c r="C41" s="12" t="s">
        <v>528</v>
      </c>
      <c r="D41" s="12" t="s">
        <v>924</v>
      </c>
      <c r="E41" s="12" t="s">
        <v>62</v>
      </c>
      <c r="F41" s="12" t="s">
        <v>65</v>
      </c>
      <c r="G41" s="12"/>
      <c r="H41" s="12" t="s">
        <v>537</v>
      </c>
      <c r="I41" s="12" t="s">
        <v>926</v>
      </c>
      <c r="J41" s="12" t="s">
        <v>544</v>
      </c>
      <c r="K41" s="12" t="s">
        <v>546</v>
      </c>
      <c r="L41" s="12" t="s">
        <v>927</v>
      </c>
    </row>
    <row r="42" ht="39.0" customHeight="1">
      <c r="A42" s="12">
        <v>41.0</v>
      </c>
      <c r="B42" s="12" t="s">
        <v>813</v>
      </c>
      <c r="C42" s="12" t="s">
        <v>528</v>
      </c>
      <c r="D42" s="12" t="s">
        <v>929</v>
      </c>
      <c r="E42" s="12" t="s">
        <v>62</v>
      </c>
      <c r="F42" s="12" t="s">
        <v>166</v>
      </c>
      <c r="G42" s="12" t="s">
        <v>409</v>
      </c>
      <c r="H42" s="12" t="s">
        <v>537</v>
      </c>
      <c r="I42" s="12" t="s">
        <v>931</v>
      </c>
      <c r="J42" s="12" t="s">
        <v>544</v>
      </c>
      <c r="K42" s="12" t="s">
        <v>546</v>
      </c>
      <c r="L42" s="12" t="s">
        <v>932</v>
      </c>
    </row>
    <row r="43" ht="39.0" customHeight="1">
      <c r="A43" s="12">
        <v>42.0</v>
      </c>
      <c r="B43" s="12" t="s">
        <v>813</v>
      </c>
      <c r="C43" s="12" t="s">
        <v>528</v>
      </c>
      <c r="D43" s="12" t="s">
        <v>935</v>
      </c>
      <c r="E43" s="12" t="s">
        <v>62</v>
      </c>
      <c r="F43" s="12" t="s">
        <v>166</v>
      </c>
      <c r="G43" s="12"/>
      <c r="H43" s="12" t="s">
        <v>537</v>
      </c>
      <c r="I43" s="12" t="s">
        <v>936</v>
      </c>
      <c r="J43" s="12" t="s">
        <v>544</v>
      </c>
      <c r="K43" s="12" t="s">
        <v>546</v>
      </c>
      <c r="L43" s="12" t="s">
        <v>827</v>
      </c>
    </row>
    <row r="44" ht="39.0" customHeight="1">
      <c r="A44" s="12">
        <v>43.0</v>
      </c>
      <c r="B44" s="12" t="s">
        <v>813</v>
      </c>
      <c r="C44" s="12" t="s">
        <v>528</v>
      </c>
      <c r="D44" s="12" t="s">
        <v>939</v>
      </c>
      <c r="E44" s="12" t="s">
        <v>62</v>
      </c>
      <c r="F44" s="12" t="s">
        <v>166</v>
      </c>
      <c r="G44" s="12"/>
      <c r="H44" s="12" t="s">
        <v>537</v>
      </c>
      <c r="I44" s="12" t="s">
        <v>941</v>
      </c>
      <c r="J44" s="12" t="s">
        <v>544</v>
      </c>
      <c r="K44" s="12" t="s">
        <v>546</v>
      </c>
      <c r="L44" s="12" t="s">
        <v>942</v>
      </c>
    </row>
    <row r="45" ht="39.0" customHeight="1">
      <c r="A45" s="12">
        <v>44.0</v>
      </c>
      <c r="B45" s="12" t="s">
        <v>813</v>
      </c>
      <c r="C45" s="12" t="s">
        <v>528</v>
      </c>
      <c r="D45" s="12" t="s">
        <v>831</v>
      </c>
      <c r="E45" s="12" t="s">
        <v>62</v>
      </c>
      <c r="F45" s="12" t="s">
        <v>166</v>
      </c>
      <c r="G45" s="12"/>
      <c r="H45" s="12" t="s">
        <v>537</v>
      </c>
      <c r="I45" s="12" t="s">
        <v>833</v>
      </c>
      <c r="J45" s="12" t="s">
        <v>544</v>
      </c>
      <c r="K45" s="12" t="s">
        <v>546</v>
      </c>
      <c r="L45" s="12" t="s">
        <v>840</v>
      </c>
    </row>
    <row r="46" ht="39.0" customHeight="1">
      <c r="A46" s="12">
        <v>45.0</v>
      </c>
      <c r="B46" s="12" t="s">
        <v>813</v>
      </c>
      <c r="C46" s="12" t="s">
        <v>528</v>
      </c>
      <c r="D46" s="12" t="s">
        <v>947</v>
      </c>
      <c r="E46" s="12" t="s">
        <v>408</v>
      </c>
      <c r="F46" s="12" t="s">
        <v>429</v>
      </c>
      <c r="G46" s="12"/>
      <c r="H46" s="12" t="s">
        <v>537</v>
      </c>
      <c r="I46" s="12" t="s">
        <v>949</v>
      </c>
      <c r="J46" s="12" t="s">
        <v>544</v>
      </c>
      <c r="K46" s="12" t="s">
        <v>546</v>
      </c>
      <c r="L46" s="12" t="s">
        <v>846</v>
      </c>
    </row>
    <row r="47" ht="39.0" customHeight="1">
      <c r="A47" s="12">
        <v>46.0</v>
      </c>
      <c r="B47" s="12" t="s">
        <v>813</v>
      </c>
      <c r="C47" s="12" t="s">
        <v>528</v>
      </c>
      <c r="D47" s="12" t="s">
        <v>836</v>
      </c>
      <c r="E47" s="12" t="s">
        <v>408</v>
      </c>
      <c r="F47" s="12" t="s">
        <v>429</v>
      </c>
      <c r="G47" s="12"/>
      <c r="H47" s="12" t="s">
        <v>537</v>
      </c>
      <c r="I47" s="12" t="s">
        <v>838</v>
      </c>
      <c r="J47" s="12" t="s">
        <v>544</v>
      </c>
      <c r="K47" s="12" t="s">
        <v>546</v>
      </c>
      <c r="L47" s="12" t="s">
        <v>852</v>
      </c>
    </row>
    <row r="48" ht="39.0" customHeight="1">
      <c r="A48" s="12">
        <v>47.0</v>
      </c>
      <c r="B48" s="12" t="s">
        <v>813</v>
      </c>
      <c r="C48" s="12" t="s">
        <v>528</v>
      </c>
      <c r="D48" s="12" t="s">
        <v>954</v>
      </c>
      <c r="E48" s="12" t="s">
        <v>62</v>
      </c>
      <c r="F48" s="12" t="s">
        <v>129</v>
      </c>
      <c r="G48" s="12"/>
      <c r="H48" s="12" t="s">
        <v>537</v>
      </c>
      <c r="I48" s="22" t="s">
        <v>956</v>
      </c>
      <c r="J48" s="12" t="s">
        <v>544</v>
      </c>
      <c r="K48" s="12" t="s">
        <v>546</v>
      </c>
      <c r="L48" s="12" t="s">
        <v>859</v>
      </c>
    </row>
    <row r="49" ht="39.0" customHeight="1">
      <c r="A49" s="12">
        <v>48.0</v>
      </c>
      <c r="B49" s="12" t="s">
        <v>813</v>
      </c>
      <c r="C49" s="12" t="s">
        <v>528</v>
      </c>
      <c r="D49" s="12" t="s">
        <v>847</v>
      </c>
      <c r="E49" s="12" t="s">
        <v>408</v>
      </c>
      <c r="F49" s="12" t="s">
        <v>409</v>
      </c>
      <c r="G49" s="12"/>
      <c r="H49" s="12" t="s">
        <v>537</v>
      </c>
      <c r="I49" s="12" t="s">
        <v>849</v>
      </c>
      <c r="J49" s="12" t="s">
        <v>544</v>
      </c>
      <c r="K49" s="12" t="s">
        <v>546</v>
      </c>
      <c r="L49" s="12" t="s">
        <v>865</v>
      </c>
    </row>
    <row r="50" ht="39.0" customHeight="1">
      <c r="A50" s="12">
        <v>49.0</v>
      </c>
      <c r="B50" s="12" t="s">
        <v>813</v>
      </c>
      <c r="C50" s="12" t="s">
        <v>528</v>
      </c>
      <c r="D50" s="12" t="s">
        <v>961</v>
      </c>
      <c r="E50" s="12" t="s">
        <v>408</v>
      </c>
      <c r="F50" s="12" t="s">
        <v>429</v>
      </c>
      <c r="G50" s="12"/>
      <c r="H50" s="12" t="s">
        <v>537</v>
      </c>
      <c r="I50" s="12" t="s">
        <v>963</v>
      </c>
      <c r="J50" s="12" t="s">
        <v>544</v>
      </c>
      <c r="K50" s="12" t="s">
        <v>546</v>
      </c>
      <c r="L50" s="12" t="s">
        <v>871</v>
      </c>
    </row>
    <row r="51" ht="39.0" customHeight="1">
      <c r="A51" s="12">
        <v>50.0</v>
      </c>
      <c r="B51" s="12" t="s">
        <v>813</v>
      </c>
      <c r="C51" s="12" t="s">
        <v>528</v>
      </c>
      <c r="D51" s="12" t="s">
        <v>966</v>
      </c>
      <c r="E51" s="12" t="s">
        <v>408</v>
      </c>
      <c r="F51" s="12" t="s">
        <v>409</v>
      </c>
      <c r="G51" s="12"/>
      <c r="H51" s="12" t="s">
        <v>537</v>
      </c>
      <c r="I51" s="12" t="s">
        <v>968</v>
      </c>
      <c r="J51" s="12" t="s">
        <v>544</v>
      </c>
      <c r="K51" s="12" t="s">
        <v>546</v>
      </c>
      <c r="L51" s="12" t="s">
        <v>877</v>
      </c>
    </row>
    <row r="52" ht="39.0" customHeight="1">
      <c r="A52" s="12">
        <v>51.0</v>
      </c>
      <c r="B52" s="12" t="s">
        <v>813</v>
      </c>
      <c r="C52" s="12" t="s">
        <v>528</v>
      </c>
      <c r="D52" s="12" t="s">
        <v>970</v>
      </c>
      <c r="E52" s="12" t="s">
        <v>408</v>
      </c>
      <c r="F52" s="12" t="s">
        <v>429</v>
      </c>
      <c r="G52" s="12"/>
      <c r="H52" s="12" t="s">
        <v>537</v>
      </c>
      <c r="I52" s="12" t="s">
        <v>973</v>
      </c>
      <c r="J52" s="12" t="s">
        <v>544</v>
      </c>
      <c r="K52" s="12" t="s">
        <v>546</v>
      </c>
      <c r="L52" s="12" t="s">
        <v>883</v>
      </c>
    </row>
    <row r="53" ht="39.0" customHeight="1">
      <c r="A53" s="12">
        <v>52.0</v>
      </c>
      <c r="B53" s="12" t="s">
        <v>813</v>
      </c>
      <c r="C53" s="12" t="s">
        <v>528</v>
      </c>
      <c r="D53" s="12" t="s">
        <v>974</v>
      </c>
      <c r="E53" s="12" t="s">
        <v>408</v>
      </c>
      <c r="F53" s="12" t="s">
        <v>429</v>
      </c>
      <c r="G53" s="12"/>
      <c r="H53" s="12" t="s">
        <v>537</v>
      </c>
      <c r="I53" s="12" t="s">
        <v>977</v>
      </c>
      <c r="J53" s="12" t="s">
        <v>544</v>
      </c>
      <c r="K53" s="12" t="s">
        <v>546</v>
      </c>
      <c r="L53" s="12" t="s">
        <v>547</v>
      </c>
    </row>
    <row r="54" ht="39.0" customHeight="1">
      <c r="A54" s="12">
        <v>53.0</v>
      </c>
      <c r="B54" s="12" t="s">
        <v>813</v>
      </c>
      <c r="C54" s="12" t="s">
        <v>528</v>
      </c>
      <c r="D54" s="12" t="s">
        <v>978</v>
      </c>
      <c r="E54" s="12" t="s">
        <v>408</v>
      </c>
      <c r="F54" s="12" t="s">
        <v>429</v>
      </c>
      <c r="G54" s="12" t="s">
        <v>262</v>
      </c>
      <c r="H54" s="12" t="s">
        <v>537</v>
      </c>
      <c r="I54" s="12" t="s">
        <v>979</v>
      </c>
      <c r="J54" s="12" t="s">
        <v>544</v>
      </c>
      <c r="K54" s="12" t="s">
        <v>546</v>
      </c>
      <c r="L54" s="12" t="s">
        <v>564</v>
      </c>
    </row>
    <row r="55" ht="39.0" customHeight="1">
      <c r="A55" s="12">
        <v>54.0</v>
      </c>
      <c r="B55" s="12" t="s">
        <v>813</v>
      </c>
      <c r="C55" s="12" t="s">
        <v>528</v>
      </c>
      <c r="D55" s="12" t="s">
        <v>615</v>
      </c>
      <c r="E55" s="12" t="s">
        <v>408</v>
      </c>
      <c r="F55" s="12" t="s">
        <v>409</v>
      </c>
      <c r="G55" s="12"/>
      <c r="H55" s="12" t="s">
        <v>537</v>
      </c>
      <c r="I55" s="12" t="s">
        <v>983</v>
      </c>
      <c r="J55" s="12" t="s">
        <v>544</v>
      </c>
      <c r="K55" s="12" t="s">
        <v>546</v>
      </c>
      <c r="L55" s="12" t="s">
        <v>580</v>
      </c>
    </row>
    <row r="56" ht="39.0" customHeight="1">
      <c r="A56" s="12">
        <v>55.0</v>
      </c>
      <c r="B56" s="12" t="s">
        <v>813</v>
      </c>
      <c r="C56" s="12" t="s">
        <v>528</v>
      </c>
      <c r="D56" s="12" t="s">
        <v>985</v>
      </c>
      <c r="E56" s="12" t="s">
        <v>408</v>
      </c>
      <c r="F56" s="12" t="s">
        <v>409</v>
      </c>
      <c r="G56" s="12"/>
      <c r="H56" s="12" t="s">
        <v>537</v>
      </c>
      <c r="I56" s="12" t="s">
        <v>987</v>
      </c>
      <c r="J56" s="12" t="s">
        <v>544</v>
      </c>
      <c r="K56" s="12" t="s">
        <v>546</v>
      </c>
      <c r="L56" s="12" t="s">
        <v>596</v>
      </c>
    </row>
    <row r="57" ht="39.0" customHeight="1">
      <c r="A57" s="12">
        <v>56.0</v>
      </c>
      <c r="B57" s="12" t="s">
        <v>813</v>
      </c>
      <c r="C57" s="12" t="s">
        <v>528</v>
      </c>
      <c r="D57" s="12" t="s">
        <v>989</v>
      </c>
      <c r="E57" s="12" t="s">
        <v>408</v>
      </c>
      <c r="F57" s="12" t="s">
        <v>409</v>
      </c>
      <c r="G57" s="12"/>
      <c r="H57" s="12" t="s">
        <v>537</v>
      </c>
      <c r="I57" s="12" t="s">
        <v>991</v>
      </c>
      <c r="J57" s="12" t="s">
        <v>544</v>
      </c>
      <c r="K57" s="12" t="s">
        <v>546</v>
      </c>
      <c r="L57" s="12" t="s">
        <v>993</v>
      </c>
    </row>
    <row r="58" ht="39.0" customHeight="1">
      <c r="A58" s="12">
        <v>57.0</v>
      </c>
      <c r="B58" s="12" t="s">
        <v>813</v>
      </c>
      <c r="C58" s="12" t="s">
        <v>528</v>
      </c>
      <c r="D58" s="12" t="s">
        <v>995</v>
      </c>
      <c r="E58" s="12" t="s">
        <v>62</v>
      </c>
      <c r="F58" s="12" t="s">
        <v>65</v>
      </c>
      <c r="G58" s="12" t="s">
        <v>197</v>
      </c>
      <c r="H58" s="12" t="s">
        <v>537</v>
      </c>
      <c r="I58" s="12" t="s">
        <v>997</v>
      </c>
      <c r="J58" s="12" t="s">
        <v>544</v>
      </c>
      <c r="K58" s="12" t="s">
        <v>546</v>
      </c>
      <c r="L58" s="12" t="s">
        <v>628</v>
      </c>
    </row>
    <row r="59" ht="39.0" customHeight="1">
      <c r="A59" s="12">
        <v>58.0</v>
      </c>
      <c r="B59" s="12" t="s">
        <v>813</v>
      </c>
      <c r="C59" s="12" t="s">
        <v>528</v>
      </c>
      <c r="D59" s="12" t="s">
        <v>998</v>
      </c>
      <c r="E59" s="12" t="s">
        <v>62</v>
      </c>
      <c r="F59" s="12" t="s">
        <v>65</v>
      </c>
      <c r="G59" s="12"/>
      <c r="H59" s="12" t="s">
        <v>537</v>
      </c>
      <c r="I59" s="12" t="s">
        <v>1000</v>
      </c>
      <c r="J59" s="12" t="s">
        <v>544</v>
      </c>
      <c r="K59" s="12" t="s">
        <v>546</v>
      </c>
      <c r="L59" s="12" t="s">
        <v>644</v>
      </c>
    </row>
    <row r="60" ht="39.0" customHeight="1">
      <c r="A60" s="12">
        <v>59.0</v>
      </c>
      <c r="B60" s="12" t="s">
        <v>813</v>
      </c>
      <c r="C60" s="12" t="s">
        <v>528</v>
      </c>
      <c r="D60" s="12" t="s">
        <v>1002</v>
      </c>
      <c r="E60" s="12" t="s">
        <v>62</v>
      </c>
      <c r="F60" s="12" t="s">
        <v>65</v>
      </c>
      <c r="G60" s="12" t="s">
        <v>376</v>
      </c>
      <c r="H60" s="12" t="s">
        <v>537</v>
      </c>
      <c r="I60" s="12" t="s">
        <v>1004</v>
      </c>
      <c r="J60" s="12" t="s">
        <v>544</v>
      </c>
      <c r="K60" s="12" t="s">
        <v>546</v>
      </c>
      <c r="L60" s="12" t="s">
        <v>660</v>
      </c>
    </row>
    <row r="61" ht="39.0" customHeight="1">
      <c r="A61" s="12">
        <v>60.0</v>
      </c>
      <c r="B61" s="12" t="s">
        <v>813</v>
      </c>
      <c r="C61" s="12" t="s">
        <v>528</v>
      </c>
      <c r="D61" s="12" t="s">
        <v>1005</v>
      </c>
      <c r="E61" s="12" t="s">
        <v>130</v>
      </c>
      <c r="F61" s="12" t="s">
        <v>579</v>
      </c>
      <c r="G61" s="12" t="s">
        <v>273</v>
      </c>
      <c r="H61" s="12" t="s">
        <v>537</v>
      </c>
      <c r="I61" s="12" t="s">
        <v>1007</v>
      </c>
      <c r="J61" s="12" t="s">
        <v>544</v>
      </c>
      <c r="K61" s="12" t="s">
        <v>546</v>
      </c>
      <c r="L61" s="12" t="s">
        <v>671</v>
      </c>
    </row>
    <row r="62" ht="39.0" customHeight="1">
      <c r="A62" s="12">
        <v>61.0</v>
      </c>
      <c r="B62" s="12" t="s">
        <v>813</v>
      </c>
      <c r="C62" s="12" t="s">
        <v>528</v>
      </c>
      <c r="D62" s="12" t="s">
        <v>1008</v>
      </c>
      <c r="E62" s="12" t="s">
        <v>130</v>
      </c>
      <c r="F62" s="12" t="s">
        <v>579</v>
      </c>
      <c r="G62" s="12"/>
      <c r="H62" s="12" t="s">
        <v>537</v>
      </c>
      <c r="I62" s="12" t="s">
        <v>1011</v>
      </c>
      <c r="J62" s="12" t="s">
        <v>544</v>
      </c>
      <c r="K62" s="12" t="s">
        <v>546</v>
      </c>
      <c r="L62" s="12" t="s">
        <v>688</v>
      </c>
    </row>
    <row r="63" ht="39.0" customHeight="1">
      <c r="A63" s="12">
        <v>62.0</v>
      </c>
      <c r="B63" s="12" t="s">
        <v>813</v>
      </c>
      <c r="C63" s="12" t="s">
        <v>528</v>
      </c>
      <c r="D63" s="12" t="s">
        <v>868</v>
      </c>
      <c r="E63" s="12" t="s">
        <v>408</v>
      </c>
      <c r="F63" s="12" t="s">
        <v>429</v>
      </c>
      <c r="G63" s="12" t="s">
        <v>197</v>
      </c>
      <c r="H63" s="12" t="s">
        <v>537</v>
      </c>
      <c r="I63" s="12" t="s">
        <v>870</v>
      </c>
      <c r="J63" s="12" t="s">
        <v>544</v>
      </c>
      <c r="K63" s="12" t="s">
        <v>546</v>
      </c>
      <c r="L63" s="12" t="s">
        <v>702</v>
      </c>
    </row>
    <row r="64" ht="39.0" customHeight="1">
      <c r="A64" s="12">
        <v>63.0</v>
      </c>
      <c r="B64" s="12" t="s">
        <v>813</v>
      </c>
      <c r="C64" s="12" t="s">
        <v>528</v>
      </c>
      <c r="D64" s="12" t="s">
        <v>1014</v>
      </c>
      <c r="E64" s="12" t="s">
        <v>408</v>
      </c>
      <c r="F64" s="12" t="s">
        <v>429</v>
      </c>
      <c r="G64" s="12"/>
      <c r="H64" s="12" t="s">
        <v>537</v>
      </c>
      <c r="I64" s="12" t="s">
        <v>1015</v>
      </c>
      <c r="J64" s="12" t="s">
        <v>544</v>
      </c>
      <c r="K64" s="12" t="s">
        <v>546</v>
      </c>
      <c r="L64" s="12" t="s">
        <v>721</v>
      </c>
    </row>
    <row r="65" ht="39.0" customHeight="1">
      <c r="A65" s="12">
        <v>64.0</v>
      </c>
      <c r="B65" s="12" t="s">
        <v>813</v>
      </c>
      <c r="C65" s="12" t="s">
        <v>528</v>
      </c>
      <c r="D65" s="12" t="s">
        <v>1018</v>
      </c>
      <c r="E65" s="12" t="s">
        <v>408</v>
      </c>
      <c r="F65" s="12" t="s">
        <v>429</v>
      </c>
      <c r="G65" s="12"/>
      <c r="H65" s="12" t="s">
        <v>537</v>
      </c>
      <c r="I65" s="12" t="s">
        <v>1020</v>
      </c>
      <c r="J65" s="12" t="s">
        <v>544</v>
      </c>
      <c r="K65" s="12" t="s">
        <v>546</v>
      </c>
      <c r="L65" s="12" t="s">
        <v>731</v>
      </c>
    </row>
    <row r="66" ht="39.0" customHeight="1">
      <c r="A66" s="12">
        <v>65.0</v>
      </c>
      <c r="B66" s="12" t="s">
        <v>813</v>
      </c>
      <c r="C66" s="12" t="s">
        <v>528</v>
      </c>
      <c r="D66" s="12" t="s">
        <v>873</v>
      </c>
      <c r="E66" s="12" t="s">
        <v>446</v>
      </c>
      <c r="F66" s="12" t="s">
        <v>465</v>
      </c>
      <c r="G66" s="12" t="s">
        <v>328</v>
      </c>
      <c r="H66" s="12" t="s">
        <v>537</v>
      </c>
      <c r="I66" s="12" t="s">
        <v>875</v>
      </c>
      <c r="J66" s="12" t="s">
        <v>544</v>
      </c>
      <c r="K66" s="12" t="s">
        <v>546</v>
      </c>
      <c r="L66" s="12" t="s">
        <v>748</v>
      </c>
    </row>
    <row r="67" ht="39.0" customHeight="1">
      <c r="A67" s="12">
        <v>66.0</v>
      </c>
      <c r="B67" s="12" t="s">
        <v>813</v>
      </c>
      <c r="C67" s="12" t="s">
        <v>528</v>
      </c>
      <c r="D67" s="12" t="s">
        <v>1023</v>
      </c>
      <c r="E67" s="12" t="s">
        <v>581</v>
      </c>
      <c r="F67" s="12" t="s">
        <v>583</v>
      </c>
      <c r="G67" s="12"/>
      <c r="H67" s="12" t="s">
        <v>537</v>
      </c>
      <c r="I67" s="12" t="s">
        <v>1024</v>
      </c>
      <c r="J67" s="12" t="s">
        <v>544</v>
      </c>
      <c r="K67" s="12" t="s">
        <v>546</v>
      </c>
      <c r="L67" s="12" t="s">
        <v>766</v>
      </c>
    </row>
    <row r="68" ht="39.0" customHeight="1">
      <c r="A68" s="12">
        <v>67.0</v>
      </c>
      <c r="B68" s="12" t="s">
        <v>813</v>
      </c>
      <c r="C68" s="12" t="s">
        <v>528</v>
      </c>
      <c r="D68" s="12" t="s">
        <v>1027</v>
      </c>
      <c r="E68" s="12" t="s">
        <v>581</v>
      </c>
      <c r="F68" s="12" t="s">
        <v>583</v>
      </c>
      <c r="G68" s="12"/>
      <c r="H68" s="12" t="s">
        <v>537</v>
      </c>
      <c r="I68" s="12" t="s">
        <v>1024</v>
      </c>
      <c r="J68" s="12" t="s">
        <v>544</v>
      </c>
      <c r="K68" s="12" t="s">
        <v>546</v>
      </c>
      <c r="L68" s="12" t="s">
        <v>1029</v>
      </c>
    </row>
    <row r="69" ht="39.0" customHeight="1">
      <c r="A69" s="12">
        <v>68.0</v>
      </c>
      <c r="B69" s="12" t="s">
        <v>813</v>
      </c>
      <c r="C69" s="12" t="s">
        <v>528</v>
      </c>
      <c r="D69" s="12" t="s">
        <v>1031</v>
      </c>
      <c r="E69" s="12" t="s">
        <v>496</v>
      </c>
      <c r="F69" s="12" t="s">
        <v>498</v>
      </c>
      <c r="G69" s="12"/>
      <c r="H69" s="12" t="s">
        <v>537</v>
      </c>
      <c r="I69" s="12" t="s">
        <v>1032</v>
      </c>
      <c r="J69" s="12" t="s">
        <v>544</v>
      </c>
      <c r="K69" s="12" t="s">
        <v>546</v>
      </c>
      <c r="L69" s="12" t="s">
        <v>788</v>
      </c>
    </row>
    <row r="70" ht="39.0" customHeight="1">
      <c r="A70" s="12">
        <v>69.0</v>
      </c>
      <c r="B70" s="12" t="s">
        <v>813</v>
      </c>
      <c r="C70" s="12" t="s">
        <v>528</v>
      </c>
      <c r="D70" s="12" t="s">
        <v>1035</v>
      </c>
      <c r="E70" s="12" t="s">
        <v>496</v>
      </c>
      <c r="F70" s="12" t="s">
        <v>498</v>
      </c>
      <c r="G70" s="12" t="s">
        <v>384</v>
      </c>
      <c r="H70" s="12" t="s">
        <v>537</v>
      </c>
      <c r="I70" s="12" t="s">
        <v>1036</v>
      </c>
      <c r="J70" s="12" t="s">
        <v>544</v>
      </c>
      <c r="K70" s="12" t="s">
        <v>546</v>
      </c>
      <c r="L70" s="12" t="s">
        <v>799</v>
      </c>
    </row>
    <row r="71" ht="39.0" customHeight="1">
      <c r="A71" s="12">
        <v>70.0</v>
      </c>
      <c r="B71" s="12" t="s">
        <v>813</v>
      </c>
      <c r="C71" s="12" t="s">
        <v>528</v>
      </c>
      <c r="D71" s="12" t="s">
        <v>1038</v>
      </c>
      <c r="E71" s="12" t="s">
        <v>496</v>
      </c>
      <c r="F71" s="12" t="s">
        <v>498</v>
      </c>
      <c r="G71" s="12"/>
      <c r="H71" s="12" t="s">
        <v>537</v>
      </c>
      <c r="I71" s="12" t="s">
        <v>1040</v>
      </c>
      <c r="J71" s="12" t="s">
        <v>544</v>
      </c>
      <c r="K71" s="12" t="s">
        <v>546</v>
      </c>
      <c r="L71" s="12" t="s">
        <v>807</v>
      </c>
    </row>
    <row r="72" ht="39.0" customHeight="1">
      <c r="A72" s="12">
        <v>71.0</v>
      </c>
      <c r="B72" s="12" t="s">
        <v>813</v>
      </c>
      <c r="C72" s="12" t="s">
        <v>528</v>
      </c>
      <c r="D72" s="12" t="s">
        <v>1042</v>
      </c>
      <c r="E72" s="12" t="s">
        <v>496</v>
      </c>
      <c r="F72" s="12" t="s">
        <v>498</v>
      </c>
      <c r="G72" s="12"/>
      <c r="H72" s="12" t="s">
        <v>537</v>
      </c>
      <c r="I72" s="12" t="s">
        <v>1044</v>
      </c>
      <c r="J72" s="12" t="s">
        <v>544</v>
      </c>
      <c r="K72" s="12" t="s">
        <v>546</v>
      </c>
      <c r="L72" s="12" t="s">
        <v>1045</v>
      </c>
    </row>
    <row r="73" ht="39.0" customHeight="1">
      <c r="A73" s="12">
        <v>72.0</v>
      </c>
      <c r="B73" s="12" t="s">
        <v>813</v>
      </c>
      <c r="C73" s="12" t="s">
        <v>528</v>
      </c>
      <c r="D73" s="12" t="s">
        <v>1046</v>
      </c>
      <c r="E73" s="12" t="s">
        <v>581</v>
      </c>
      <c r="F73" s="12" t="s">
        <v>583</v>
      </c>
      <c r="G73" s="12"/>
      <c r="H73" s="12" t="s">
        <v>537</v>
      </c>
      <c r="I73" s="12" t="s">
        <v>1047</v>
      </c>
      <c r="J73" s="12" t="s">
        <v>544</v>
      </c>
      <c r="K73" s="12" t="s">
        <v>546</v>
      </c>
      <c r="L73" s="12" t="s">
        <v>821</v>
      </c>
    </row>
    <row r="74" ht="39.0" customHeight="1">
      <c r="A74" s="12">
        <v>73.0</v>
      </c>
      <c r="B74" s="12" t="s">
        <v>813</v>
      </c>
      <c r="C74" s="12" t="s">
        <v>528</v>
      </c>
      <c r="D74" s="12" t="s">
        <v>1049</v>
      </c>
      <c r="E74" s="12" t="s">
        <v>446</v>
      </c>
      <c r="F74" s="12" t="s">
        <v>447</v>
      </c>
      <c r="G74" s="12"/>
      <c r="H74" s="12" t="s">
        <v>537</v>
      </c>
      <c r="I74" s="12" t="s">
        <v>1050</v>
      </c>
      <c r="J74" s="12" t="s">
        <v>544</v>
      </c>
      <c r="K74" s="12" t="s">
        <v>546</v>
      </c>
      <c r="L74" s="12"/>
    </row>
    <row r="75" ht="39.0" customHeight="1">
      <c r="A75" s="12">
        <v>74.0</v>
      </c>
      <c r="B75" s="12" t="s">
        <v>813</v>
      </c>
      <c r="C75" s="12" t="s">
        <v>528</v>
      </c>
      <c r="D75" s="12" t="s">
        <v>1051</v>
      </c>
      <c r="E75" s="12" t="s">
        <v>446</v>
      </c>
      <c r="F75" s="12" t="s">
        <v>447</v>
      </c>
      <c r="G75" s="12"/>
      <c r="H75" s="12" t="s">
        <v>537</v>
      </c>
      <c r="I75" s="12" t="s">
        <v>1052</v>
      </c>
      <c r="J75" s="12" t="s">
        <v>544</v>
      </c>
      <c r="K75" s="12" t="s">
        <v>546</v>
      </c>
      <c r="L75" s="12" t="s">
        <v>886</v>
      </c>
    </row>
    <row r="76" ht="39.0" customHeight="1">
      <c r="A76" s="12">
        <v>75.0</v>
      </c>
      <c r="B76" s="12" t="s">
        <v>813</v>
      </c>
      <c r="C76" s="12" t="s">
        <v>528</v>
      </c>
      <c r="D76" s="12" t="s">
        <v>1053</v>
      </c>
      <c r="E76" s="12" t="s">
        <v>581</v>
      </c>
      <c r="F76" s="12" t="s">
        <v>637</v>
      </c>
      <c r="G76" s="12" t="s">
        <v>447</v>
      </c>
      <c r="H76" s="12" t="s">
        <v>537</v>
      </c>
      <c r="I76" s="12" t="s">
        <v>1054</v>
      </c>
      <c r="J76" s="12" t="s">
        <v>544</v>
      </c>
      <c r="K76" s="12" t="s">
        <v>546</v>
      </c>
      <c r="L76" s="12" t="s">
        <v>888</v>
      </c>
    </row>
    <row r="77" ht="39.0" customHeight="1">
      <c r="A77" s="12">
        <v>76.0</v>
      </c>
      <c r="B77" s="12" t="s">
        <v>813</v>
      </c>
      <c r="C77" s="12" t="s">
        <v>528</v>
      </c>
      <c r="D77" s="12" t="s">
        <v>1057</v>
      </c>
      <c r="E77" s="12" t="s">
        <v>446</v>
      </c>
      <c r="F77" s="12" t="s">
        <v>447</v>
      </c>
      <c r="G77" s="12"/>
      <c r="H77" s="12" t="s">
        <v>537</v>
      </c>
      <c r="I77" s="12" t="s">
        <v>1058</v>
      </c>
      <c r="J77" s="12" t="s">
        <v>544</v>
      </c>
      <c r="K77" s="12" t="s">
        <v>546</v>
      </c>
      <c r="L77" s="12" t="s">
        <v>894</v>
      </c>
    </row>
    <row r="78" ht="39.0" customHeight="1">
      <c r="A78" s="12">
        <v>77.0</v>
      </c>
      <c r="B78" s="12" t="s">
        <v>813</v>
      </c>
      <c r="C78" s="12" t="s">
        <v>528</v>
      </c>
      <c r="D78" s="12" t="s">
        <v>1060</v>
      </c>
      <c r="E78" s="12" t="s">
        <v>408</v>
      </c>
      <c r="F78" s="12" t="s">
        <v>409</v>
      </c>
      <c r="G78" s="12" t="s">
        <v>129</v>
      </c>
      <c r="H78" s="12" t="s">
        <v>537</v>
      </c>
      <c r="I78" s="12" t="s">
        <v>1063</v>
      </c>
      <c r="J78" s="12" t="s">
        <v>544</v>
      </c>
      <c r="K78" s="12" t="s">
        <v>546</v>
      </c>
      <c r="L78" s="12" t="s">
        <v>899</v>
      </c>
    </row>
    <row r="79" ht="39.0" customHeight="1">
      <c r="A79" s="12">
        <v>78.0</v>
      </c>
      <c r="B79" s="12" t="s">
        <v>813</v>
      </c>
      <c r="C79" s="12" t="s">
        <v>528</v>
      </c>
      <c r="D79" s="12" t="s">
        <v>1060</v>
      </c>
      <c r="E79" s="12" t="s">
        <v>446</v>
      </c>
      <c r="F79" s="12" t="s">
        <v>447</v>
      </c>
      <c r="G79" s="12"/>
      <c r="H79" s="12" t="s">
        <v>537</v>
      </c>
      <c r="I79" s="12" t="s">
        <v>1067</v>
      </c>
      <c r="J79" s="12" t="s">
        <v>544</v>
      </c>
      <c r="K79" s="12" t="s">
        <v>546</v>
      </c>
      <c r="L79" s="12" t="s">
        <v>1068</v>
      </c>
    </row>
    <row r="80" ht="39.0" customHeight="1">
      <c r="A80" s="12">
        <v>79.0</v>
      </c>
      <c r="B80" s="12" t="s">
        <v>813</v>
      </c>
      <c r="C80" s="12" t="s">
        <v>528</v>
      </c>
      <c r="D80" s="12" t="s">
        <v>1069</v>
      </c>
      <c r="E80" s="12" t="s">
        <v>446</v>
      </c>
      <c r="F80" s="12" t="s">
        <v>447</v>
      </c>
      <c r="G80" s="12"/>
      <c r="H80" s="12" t="s">
        <v>537</v>
      </c>
      <c r="I80" s="12" t="s">
        <v>1071</v>
      </c>
      <c r="J80" s="12" t="s">
        <v>544</v>
      </c>
      <c r="K80" s="12" t="s">
        <v>546</v>
      </c>
      <c r="L80" s="12" t="s">
        <v>905</v>
      </c>
    </row>
    <row r="81" ht="39.0" customHeight="1">
      <c r="A81" s="12">
        <v>80.0</v>
      </c>
      <c r="B81" s="12" t="s">
        <v>813</v>
      </c>
      <c r="C81" s="12" t="s">
        <v>528</v>
      </c>
      <c r="D81" s="12" t="s">
        <v>1074</v>
      </c>
      <c r="E81" s="12" t="s">
        <v>446</v>
      </c>
      <c r="F81" s="12" t="s">
        <v>447</v>
      </c>
      <c r="G81" s="12"/>
      <c r="H81" s="12" t="s">
        <v>537</v>
      </c>
      <c r="I81" s="12" t="s">
        <v>1076</v>
      </c>
      <c r="J81" s="12" t="s">
        <v>544</v>
      </c>
      <c r="K81" s="12" t="s">
        <v>546</v>
      </c>
      <c r="L81" s="12" t="s">
        <v>912</v>
      </c>
    </row>
    <row r="82" ht="39.0" customHeight="1">
      <c r="A82" s="12">
        <v>81.0</v>
      </c>
      <c r="B82" s="12" t="s">
        <v>813</v>
      </c>
      <c r="C82" s="12" t="s">
        <v>528</v>
      </c>
      <c r="D82" s="12" t="s">
        <v>940</v>
      </c>
      <c r="E82" s="12" t="s">
        <v>581</v>
      </c>
      <c r="F82" s="12" t="s">
        <v>583</v>
      </c>
      <c r="G82" s="12"/>
      <c r="H82" s="12" t="s">
        <v>537</v>
      </c>
      <c r="I82" s="12" t="s">
        <v>943</v>
      </c>
      <c r="J82" s="12" t="s">
        <v>544</v>
      </c>
      <c r="K82" s="12" t="s">
        <v>546</v>
      </c>
      <c r="L82" s="12" t="s">
        <v>918</v>
      </c>
    </row>
    <row r="83" ht="39.0" customHeight="1">
      <c r="A83" s="12">
        <v>82.0</v>
      </c>
      <c r="B83" s="12" t="s">
        <v>813</v>
      </c>
      <c r="C83" s="12" t="s">
        <v>528</v>
      </c>
      <c r="D83" s="12" t="s">
        <v>1081</v>
      </c>
      <c r="E83" s="12" t="s">
        <v>446</v>
      </c>
      <c r="F83" s="12" t="s">
        <v>474</v>
      </c>
      <c r="G83" s="12"/>
      <c r="H83" s="12" t="s">
        <v>537</v>
      </c>
      <c r="I83" s="12" t="s">
        <v>1083</v>
      </c>
      <c r="J83" s="12" t="s">
        <v>544</v>
      </c>
      <c r="K83" s="12" t="s">
        <v>546</v>
      </c>
      <c r="L83" s="12" t="s">
        <v>922</v>
      </c>
    </row>
    <row r="84" ht="39.0" customHeight="1">
      <c r="A84" s="12">
        <v>83.0</v>
      </c>
      <c r="B84" s="12" t="s">
        <v>813</v>
      </c>
      <c r="C84" s="12" t="s">
        <v>528</v>
      </c>
      <c r="D84" s="12" t="s">
        <v>1085</v>
      </c>
      <c r="E84" s="12" t="s">
        <v>408</v>
      </c>
      <c r="F84" s="12" t="s">
        <v>420</v>
      </c>
      <c r="G84" s="12"/>
      <c r="H84" s="12" t="s">
        <v>537</v>
      </c>
      <c r="I84" s="12" t="s">
        <v>1087</v>
      </c>
      <c r="J84" s="12" t="s">
        <v>544</v>
      </c>
      <c r="K84" s="12" t="s">
        <v>546</v>
      </c>
      <c r="L84" s="12" t="s">
        <v>927</v>
      </c>
    </row>
    <row r="85" ht="39.0" customHeight="1">
      <c r="A85" s="12">
        <v>84.0</v>
      </c>
      <c r="B85" s="12" t="s">
        <v>813</v>
      </c>
      <c r="C85" s="12" t="s">
        <v>528</v>
      </c>
      <c r="D85" s="12" t="s">
        <v>1089</v>
      </c>
      <c r="E85" s="12" t="s">
        <v>62</v>
      </c>
      <c r="F85" s="12" t="s">
        <v>129</v>
      </c>
      <c r="G85" s="12" t="s">
        <v>409</v>
      </c>
      <c r="H85" s="12" t="s">
        <v>537</v>
      </c>
      <c r="I85" s="12" t="s">
        <v>1091</v>
      </c>
      <c r="J85" s="12" t="s">
        <v>544</v>
      </c>
      <c r="K85" s="12" t="s">
        <v>546</v>
      </c>
      <c r="L85" s="12" t="s">
        <v>932</v>
      </c>
    </row>
    <row r="86" ht="39.0" customHeight="1">
      <c r="A86" s="12">
        <v>85.0</v>
      </c>
      <c r="B86" s="12" t="s">
        <v>813</v>
      </c>
      <c r="C86" s="12" t="s">
        <v>528</v>
      </c>
      <c r="D86" s="12" t="s">
        <v>965</v>
      </c>
      <c r="E86" s="12" t="s">
        <v>408</v>
      </c>
      <c r="F86" s="12" t="s">
        <v>409</v>
      </c>
      <c r="G86" s="12"/>
      <c r="H86" s="12" t="s">
        <v>537</v>
      </c>
      <c r="I86" s="12" t="s">
        <v>967</v>
      </c>
      <c r="J86" s="12" t="s">
        <v>544</v>
      </c>
      <c r="K86" s="12" t="s">
        <v>546</v>
      </c>
      <c r="L86" s="12"/>
    </row>
    <row r="87" ht="39.0" customHeight="1">
      <c r="A87" s="12">
        <v>86.0</v>
      </c>
      <c r="B87" s="12" t="s">
        <v>517</v>
      </c>
      <c r="C87" s="12" t="s">
        <v>528</v>
      </c>
      <c r="D87" s="12" t="s">
        <v>1098</v>
      </c>
      <c r="E87" s="12" t="s">
        <v>408</v>
      </c>
      <c r="F87" s="12" t="s">
        <v>429</v>
      </c>
      <c r="G87" s="12"/>
      <c r="H87" s="12" t="s">
        <v>537</v>
      </c>
      <c r="I87" s="12" t="s">
        <v>1099</v>
      </c>
      <c r="J87" s="12" t="s">
        <v>544</v>
      </c>
      <c r="K87" s="12" t="s">
        <v>546</v>
      </c>
      <c r="L87" s="12"/>
    </row>
    <row r="88" ht="39.0" customHeight="1">
      <c r="A88" s="12">
        <v>87.0</v>
      </c>
      <c r="B88" s="12" t="s">
        <v>517</v>
      </c>
      <c r="C88" s="12" t="s">
        <v>528</v>
      </c>
      <c r="D88" s="12" t="s">
        <v>1100</v>
      </c>
      <c r="E88" s="12" t="s">
        <v>446</v>
      </c>
      <c r="F88" s="12" t="s">
        <v>447</v>
      </c>
      <c r="G88" s="12"/>
      <c r="H88" s="12" t="s">
        <v>537</v>
      </c>
      <c r="I88" s="12" t="s">
        <v>1103</v>
      </c>
      <c r="J88" s="12" t="s">
        <v>544</v>
      </c>
      <c r="K88" s="12" t="s">
        <v>546</v>
      </c>
      <c r="L88" s="12"/>
    </row>
    <row r="89" ht="39.0" customHeight="1">
      <c r="A89" s="12">
        <v>88.0</v>
      </c>
      <c r="B89" s="12" t="s">
        <v>517</v>
      </c>
      <c r="C89" s="12" t="s">
        <v>528</v>
      </c>
      <c r="D89" s="12" t="s">
        <v>1106</v>
      </c>
      <c r="E89" s="12" t="s">
        <v>446</v>
      </c>
      <c r="F89" s="12" t="s">
        <v>447</v>
      </c>
      <c r="G89" s="12"/>
      <c r="H89" s="12" t="s">
        <v>537</v>
      </c>
      <c r="I89" s="12" t="s">
        <v>1107</v>
      </c>
      <c r="J89" s="12" t="s">
        <v>544</v>
      </c>
      <c r="K89" s="12" t="s">
        <v>546</v>
      </c>
      <c r="L89" s="12"/>
    </row>
    <row r="90" ht="39.0" customHeight="1">
      <c r="A90" s="12">
        <v>89.0</v>
      </c>
      <c r="B90" s="12" t="s">
        <v>517</v>
      </c>
      <c r="C90" s="12" t="s">
        <v>528</v>
      </c>
      <c r="D90" s="12" t="s">
        <v>1109</v>
      </c>
      <c r="E90" s="12" t="s">
        <v>581</v>
      </c>
      <c r="F90" s="12" t="s">
        <v>583</v>
      </c>
      <c r="G90" s="12"/>
      <c r="H90" s="12" t="s">
        <v>537</v>
      </c>
      <c r="I90" s="12" t="s">
        <v>1112</v>
      </c>
      <c r="J90" s="12" t="s">
        <v>544</v>
      </c>
      <c r="K90" s="12" t="s">
        <v>546</v>
      </c>
      <c r="L90" s="12"/>
    </row>
    <row r="91" ht="39.0" customHeight="1">
      <c r="A91" s="12">
        <v>90.0</v>
      </c>
      <c r="B91" s="12" t="s">
        <v>517</v>
      </c>
      <c r="C91" s="12" t="s">
        <v>528</v>
      </c>
      <c r="D91" s="12" t="s">
        <v>1115</v>
      </c>
      <c r="E91" s="12" t="s">
        <v>408</v>
      </c>
      <c r="F91" s="12" t="s">
        <v>409</v>
      </c>
      <c r="G91" s="12"/>
      <c r="H91" s="12" t="s">
        <v>537</v>
      </c>
      <c r="I91" s="22" t="s">
        <v>1117</v>
      </c>
      <c r="J91" s="12" t="s">
        <v>544</v>
      </c>
      <c r="K91" s="12" t="s">
        <v>546</v>
      </c>
      <c r="L91" s="12"/>
    </row>
    <row r="92" ht="39.0" customHeight="1">
      <c r="A92" s="12">
        <v>91.0</v>
      </c>
      <c r="B92" s="12" t="s">
        <v>517</v>
      </c>
      <c r="C92" s="12" t="s">
        <v>528</v>
      </c>
      <c r="D92" s="12" t="s">
        <v>1120</v>
      </c>
      <c r="E92" s="12" t="s">
        <v>581</v>
      </c>
      <c r="F92" s="12" t="s">
        <v>583</v>
      </c>
      <c r="G92" s="12"/>
      <c r="H92" s="12" t="s">
        <v>537</v>
      </c>
      <c r="I92" s="12" t="s">
        <v>1122</v>
      </c>
      <c r="J92" s="12" t="s">
        <v>544</v>
      </c>
      <c r="K92" s="12" t="s">
        <v>546</v>
      </c>
      <c r="L92" s="12"/>
    </row>
    <row r="93" ht="19.5" customHeight="1">
      <c r="A93" s="12">
        <v>92.0</v>
      </c>
      <c r="B93" s="12" t="s">
        <v>517</v>
      </c>
      <c r="C93" s="12" t="s">
        <v>528</v>
      </c>
      <c r="D93" s="12" t="s">
        <v>809</v>
      </c>
      <c r="E93" s="12" t="s">
        <v>581</v>
      </c>
      <c r="F93" s="12" t="s">
        <v>597</v>
      </c>
      <c r="G93" s="12"/>
      <c r="H93" s="12" t="s">
        <v>537</v>
      </c>
      <c r="I93" s="12" t="s">
        <v>810</v>
      </c>
      <c r="J93" s="12" t="s">
        <v>544</v>
      </c>
      <c r="K93" s="12" t="s">
        <v>546</v>
      </c>
      <c r="L93" s="12"/>
    </row>
    <row r="94" ht="19.5" customHeight="1">
      <c r="A94" s="12">
        <v>93.0</v>
      </c>
      <c r="B94" s="12" t="s">
        <v>517</v>
      </c>
      <c r="C94" s="12" t="s">
        <v>528</v>
      </c>
      <c r="D94" s="12" t="s">
        <v>1126</v>
      </c>
      <c r="E94" s="12" t="s">
        <v>581</v>
      </c>
      <c r="F94" s="12" t="s">
        <v>583</v>
      </c>
      <c r="G94" s="12"/>
      <c r="H94" s="12" t="s">
        <v>537</v>
      </c>
      <c r="I94" s="12" t="s">
        <v>1128</v>
      </c>
      <c r="J94" s="12" t="s">
        <v>544</v>
      </c>
      <c r="K94" s="12" t="s">
        <v>546</v>
      </c>
      <c r="L94" s="12"/>
    </row>
    <row r="95" ht="19.5" customHeight="1">
      <c r="A95" s="12">
        <v>94.0</v>
      </c>
      <c r="B95" s="12" t="s">
        <v>517</v>
      </c>
      <c r="C95" s="12" t="s">
        <v>528</v>
      </c>
      <c r="D95" s="12" t="s">
        <v>1131</v>
      </c>
      <c r="E95" s="12" t="s">
        <v>581</v>
      </c>
      <c r="F95" s="12" t="s">
        <v>583</v>
      </c>
      <c r="G95" s="12"/>
      <c r="H95" s="12" t="s">
        <v>537</v>
      </c>
      <c r="I95" s="12" t="s">
        <v>1133</v>
      </c>
      <c r="J95" s="12" t="s">
        <v>544</v>
      </c>
      <c r="K95" s="12" t="s">
        <v>546</v>
      </c>
      <c r="L95" s="12"/>
    </row>
    <row r="96" ht="19.5" customHeight="1">
      <c r="A96" s="12">
        <v>95.0</v>
      </c>
      <c r="B96" s="12" t="s">
        <v>517</v>
      </c>
      <c r="C96" s="12" t="s">
        <v>528</v>
      </c>
      <c r="D96" s="12" t="s">
        <v>1135</v>
      </c>
      <c r="E96" s="12" t="s">
        <v>581</v>
      </c>
      <c r="F96" s="12" t="s">
        <v>583</v>
      </c>
      <c r="G96" s="12"/>
      <c r="H96" s="12" t="s">
        <v>537</v>
      </c>
      <c r="I96" s="12" t="s">
        <v>1137</v>
      </c>
      <c r="J96" s="12" t="s">
        <v>544</v>
      </c>
      <c r="K96" s="12" t="s">
        <v>546</v>
      </c>
      <c r="L96" s="12"/>
    </row>
    <row r="97" ht="19.5" customHeight="1">
      <c r="A97" s="12">
        <v>96.0</v>
      </c>
      <c r="B97" s="12" t="s">
        <v>517</v>
      </c>
      <c r="C97" s="12" t="s">
        <v>528</v>
      </c>
      <c r="D97" s="12" t="s">
        <v>1138</v>
      </c>
      <c r="E97" s="12" t="s">
        <v>446</v>
      </c>
      <c r="F97" s="12" t="s">
        <v>447</v>
      </c>
      <c r="G97" s="12"/>
      <c r="H97" s="12" t="s">
        <v>537</v>
      </c>
      <c r="I97" s="12" t="s">
        <v>1140</v>
      </c>
      <c r="J97" s="12" t="s">
        <v>544</v>
      </c>
      <c r="K97" s="12" t="s">
        <v>546</v>
      </c>
      <c r="L97" s="12"/>
    </row>
    <row r="98" ht="19.5" customHeight="1">
      <c r="A98" s="12">
        <v>97.0</v>
      </c>
      <c r="B98" s="12" t="s">
        <v>517</v>
      </c>
      <c r="C98" s="12" t="s">
        <v>528</v>
      </c>
      <c r="D98" s="12" t="s">
        <v>1142</v>
      </c>
      <c r="E98" s="12" t="s">
        <v>581</v>
      </c>
      <c r="F98" s="12" t="s">
        <v>583</v>
      </c>
      <c r="G98" s="12"/>
      <c r="H98" s="12" t="s">
        <v>537</v>
      </c>
      <c r="I98" s="12" t="s">
        <v>1145</v>
      </c>
      <c r="J98" s="12" t="s">
        <v>544</v>
      </c>
      <c r="K98" s="12" t="s">
        <v>546</v>
      </c>
      <c r="L98" s="12"/>
    </row>
    <row r="99" ht="19.5" customHeight="1">
      <c r="A99" s="12"/>
      <c r="B99" s="12"/>
      <c r="C99" s="12"/>
      <c r="D99" s="12"/>
      <c r="E99" s="12"/>
      <c r="F99" s="12"/>
      <c r="G99" s="12"/>
      <c r="H99" s="12"/>
      <c r="I99" s="12"/>
      <c r="J99" s="12"/>
      <c r="K99" s="12"/>
      <c r="L99" s="12"/>
    </row>
    <row r="100" ht="19.5" customHeight="1">
      <c r="A100" s="12"/>
      <c r="B100" s="12"/>
      <c r="C100" s="12"/>
      <c r="D100" s="12"/>
      <c r="E100" s="12"/>
      <c r="F100" s="12"/>
      <c r="G100" s="12"/>
      <c r="H100" s="12"/>
      <c r="I100" s="12"/>
      <c r="J100" s="12"/>
      <c r="K100" s="12"/>
      <c r="L100" s="12"/>
    </row>
    <row r="101" ht="19.5" customHeight="1">
      <c r="A101" s="12"/>
      <c r="B101" s="12"/>
      <c r="C101" s="12"/>
      <c r="D101" s="12"/>
      <c r="E101" s="12"/>
      <c r="F101" s="12"/>
      <c r="G101" s="12"/>
      <c r="H101" s="12"/>
      <c r="I101" s="12"/>
      <c r="J101" s="12"/>
      <c r="K101" s="12"/>
      <c r="L101" s="12"/>
    </row>
    <row r="102" ht="19.5" customHeight="1">
      <c r="A102" s="12"/>
      <c r="B102" s="12"/>
      <c r="C102" s="12"/>
      <c r="D102" s="12"/>
      <c r="E102" s="12"/>
      <c r="F102" s="12"/>
      <c r="G102" s="12"/>
      <c r="H102" s="12"/>
      <c r="I102" s="12"/>
      <c r="J102" s="12"/>
      <c r="K102" s="12"/>
      <c r="L102" s="12"/>
    </row>
    <row r="103" ht="15.75" customHeight="1"/>
    <row r="104" ht="15.75" customHeight="1">
      <c r="A104" s="27" t="s">
        <v>1092</v>
      </c>
      <c r="B104" s="20"/>
      <c r="C104" s="20"/>
      <c r="D104" s="20"/>
      <c r="E104" s="20"/>
      <c r="F104" s="20"/>
      <c r="G104" s="20"/>
      <c r="H104" s="20"/>
      <c r="I104" s="2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02"/>
  <mergeCells count="1">
    <mergeCell ref="A104:I104"/>
  </mergeCells>
  <dataValidations>
    <dataValidation type="list" allowBlank="1" sqref="H2:H102">
      <formula1>"Yes,No,n.a."</formula1>
    </dataValidation>
    <dataValidation type="list" allowBlank="1" sqref="C2:C102">
      <formula1>"AUD,TRN,SUM"</formula1>
    </dataValidation>
  </dataValidations>
  <printOptions/>
  <pageMargins bottom="1.0" footer="0.0" header="0.0" left="0.75" right="0.75" top="1.0"/>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40.0"/>
    <col customWidth="1" min="3" max="3" width="8.0"/>
    <col customWidth="1" min="4" max="4" width="20.0"/>
    <col customWidth="1" min="5" max="5" width="10.0"/>
    <col customWidth="1" min="6" max="7" width="22.0"/>
    <col customWidth="1" min="8" max="8" width="13.0"/>
    <col customWidth="1" min="9" max="9" width="66.0"/>
    <col customWidth="1" min="10" max="11" width="12.0"/>
    <col customWidth="1" min="12" max="12" width="34.0"/>
    <col customWidth="1" min="13" max="26" width="14.0"/>
  </cols>
  <sheetData>
    <row r="1" ht="31.5" customHeight="1">
      <c r="A1" s="23" t="s">
        <v>493</v>
      </c>
      <c r="B1" s="23" t="s">
        <v>494</v>
      </c>
      <c r="C1" s="23" t="s">
        <v>495</v>
      </c>
      <c r="D1" s="23" t="s">
        <v>497</v>
      </c>
      <c r="E1" s="23" t="s">
        <v>12</v>
      </c>
      <c r="F1" s="23" t="s">
        <v>18</v>
      </c>
      <c r="G1" s="23" t="s">
        <v>502</v>
      </c>
      <c r="H1" s="23" t="s">
        <v>101</v>
      </c>
      <c r="I1" s="23" t="s">
        <v>507</v>
      </c>
      <c r="J1" s="23" t="s">
        <v>509</v>
      </c>
      <c r="K1" s="23" t="s">
        <v>17</v>
      </c>
      <c r="L1" s="23" t="s">
        <v>511</v>
      </c>
    </row>
    <row r="2" ht="19.5" customHeight="1">
      <c r="A2" s="24">
        <v>1.0</v>
      </c>
      <c r="B2" s="24" t="s">
        <v>1059</v>
      </c>
      <c r="C2" s="24" t="s">
        <v>528</v>
      </c>
      <c r="D2" s="24" t="s">
        <v>1064</v>
      </c>
      <c r="E2" s="24" t="s">
        <v>62</v>
      </c>
      <c r="F2" s="24" t="s">
        <v>65</v>
      </c>
      <c r="G2" s="25"/>
      <c r="H2" s="24" t="s">
        <v>570</v>
      </c>
      <c r="I2" s="24" t="s">
        <v>1065</v>
      </c>
      <c r="J2" s="24" t="s">
        <v>1066</v>
      </c>
      <c r="K2" s="26">
        <v>46289.0</v>
      </c>
      <c r="L2" s="25"/>
    </row>
    <row r="3" ht="19.5" customHeight="1">
      <c r="A3" s="24">
        <v>2.0</v>
      </c>
      <c r="B3" s="24" t="s">
        <v>1059</v>
      </c>
      <c r="C3" s="24" t="s">
        <v>528</v>
      </c>
      <c r="D3" s="24" t="s">
        <v>1070</v>
      </c>
      <c r="E3" s="24" t="s">
        <v>62</v>
      </c>
      <c r="F3" s="24" t="s">
        <v>129</v>
      </c>
      <c r="G3" s="25"/>
      <c r="H3" s="24" t="s">
        <v>570</v>
      </c>
      <c r="I3" s="24" t="s">
        <v>1072</v>
      </c>
      <c r="J3" s="24" t="s">
        <v>1066</v>
      </c>
      <c r="K3" s="26">
        <v>46291.0</v>
      </c>
      <c r="L3" s="25"/>
    </row>
    <row r="4" ht="19.5" customHeight="1">
      <c r="A4" s="24">
        <v>3.0</v>
      </c>
      <c r="B4" s="24" t="s">
        <v>1059</v>
      </c>
      <c r="C4" s="24" t="s">
        <v>528</v>
      </c>
      <c r="D4" s="24" t="s">
        <v>1073</v>
      </c>
      <c r="E4" s="24" t="s">
        <v>130</v>
      </c>
      <c r="F4" s="24" t="s">
        <v>753</v>
      </c>
      <c r="G4" s="25"/>
      <c r="H4" s="24" t="s">
        <v>570</v>
      </c>
      <c r="I4" s="24" t="s">
        <v>1075</v>
      </c>
      <c r="J4" s="24" t="s">
        <v>1066</v>
      </c>
      <c r="K4" s="26">
        <v>46291.0</v>
      </c>
      <c r="L4" s="25"/>
    </row>
    <row r="5" ht="19.5" customHeight="1">
      <c r="A5" s="24">
        <v>4.0</v>
      </c>
      <c r="B5" s="24" t="s">
        <v>1059</v>
      </c>
      <c r="C5" s="24" t="s">
        <v>528</v>
      </c>
      <c r="D5" s="24" t="s">
        <v>1077</v>
      </c>
      <c r="E5" s="24" t="s">
        <v>408</v>
      </c>
      <c r="F5" s="24" t="s">
        <v>420</v>
      </c>
      <c r="G5" s="25"/>
      <c r="H5" s="24" t="s">
        <v>570</v>
      </c>
      <c r="I5" s="24" t="s">
        <v>1078</v>
      </c>
      <c r="J5" s="24" t="s">
        <v>1066</v>
      </c>
      <c r="K5" s="26">
        <v>46291.0</v>
      </c>
      <c r="L5" s="25"/>
    </row>
    <row r="6" ht="19.5" customHeight="1">
      <c r="A6" s="24">
        <v>5.0</v>
      </c>
      <c r="B6" s="24" t="s">
        <v>1059</v>
      </c>
      <c r="C6" s="24" t="s">
        <v>528</v>
      </c>
      <c r="D6" s="24" t="s">
        <v>1079</v>
      </c>
      <c r="E6" s="24" t="s">
        <v>62</v>
      </c>
      <c r="F6" s="24" t="s">
        <v>154</v>
      </c>
      <c r="G6" s="25"/>
      <c r="H6" s="24" t="s">
        <v>570</v>
      </c>
      <c r="I6" s="24" t="s">
        <v>1080</v>
      </c>
      <c r="J6" s="24" t="s">
        <v>1066</v>
      </c>
      <c r="K6" s="26">
        <v>46291.0</v>
      </c>
      <c r="L6" s="25"/>
    </row>
    <row r="7" ht="19.5" customHeight="1">
      <c r="A7" s="24">
        <v>6.0</v>
      </c>
      <c r="B7" s="24" t="s">
        <v>1059</v>
      </c>
      <c r="C7" s="24" t="s">
        <v>528</v>
      </c>
      <c r="D7" s="24" t="s">
        <v>1079</v>
      </c>
      <c r="E7" s="24" t="s">
        <v>183</v>
      </c>
      <c r="F7" s="24" t="s">
        <v>216</v>
      </c>
      <c r="G7" s="25"/>
      <c r="H7" s="24" t="s">
        <v>570</v>
      </c>
      <c r="I7" s="24" t="s">
        <v>1080</v>
      </c>
      <c r="J7" s="24" t="s">
        <v>1066</v>
      </c>
      <c r="K7" s="26">
        <v>46291.0</v>
      </c>
      <c r="L7" s="25"/>
    </row>
    <row r="8" ht="19.5" customHeight="1">
      <c r="A8" s="24">
        <v>7.0</v>
      </c>
      <c r="B8" s="24" t="s">
        <v>1059</v>
      </c>
      <c r="C8" s="24" t="s">
        <v>528</v>
      </c>
      <c r="D8" s="24" t="s">
        <v>1082</v>
      </c>
      <c r="E8" s="24" t="s">
        <v>446</v>
      </c>
      <c r="F8" s="24" t="s">
        <v>447</v>
      </c>
      <c r="G8" s="25"/>
      <c r="H8" s="24" t="s">
        <v>911</v>
      </c>
      <c r="I8" s="24" t="s">
        <v>1084</v>
      </c>
      <c r="J8" s="24" t="s">
        <v>1066</v>
      </c>
      <c r="K8" s="26">
        <v>46291.0</v>
      </c>
      <c r="L8" s="25"/>
    </row>
    <row r="9" ht="19.5" customHeight="1">
      <c r="A9" s="24">
        <v>8.0</v>
      </c>
      <c r="B9" s="24" t="s">
        <v>1059</v>
      </c>
      <c r="C9" s="24" t="s">
        <v>528</v>
      </c>
      <c r="D9" s="24" t="s">
        <v>1086</v>
      </c>
      <c r="E9" s="24" t="s">
        <v>62</v>
      </c>
      <c r="F9" s="24" t="s">
        <v>166</v>
      </c>
      <c r="G9" s="25"/>
      <c r="H9" s="24" t="s">
        <v>570</v>
      </c>
      <c r="I9" s="24" t="s">
        <v>1088</v>
      </c>
      <c r="J9" s="24" t="s">
        <v>1066</v>
      </c>
      <c r="K9" s="26">
        <v>46291.0</v>
      </c>
      <c r="L9" s="25"/>
    </row>
    <row r="10" ht="19.5" customHeight="1">
      <c r="A10" s="24">
        <v>9.0</v>
      </c>
      <c r="B10" s="24" t="s">
        <v>1059</v>
      </c>
      <c r="C10" s="24" t="s">
        <v>528</v>
      </c>
      <c r="D10" s="24" t="s">
        <v>1090</v>
      </c>
      <c r="E10" s="24" t="s">
        <v>581</v>
      </c>
      <c r="F10" s="24" t="s">
        <v>609</v>
      </c>
      <c r="G10" s="25"/>
      <c r="H10" s="24" t="s">
        <v>911</v>
      </c>
      <c r="I10" s="24" t="s">
        <v>1093</v>
      </c>
      <c r="J10" s="24" t="s">
        <v>1066</v>
      </c>
      <c r="K10" s="26">
        <v>46291.0</v>
      </c>
      <c r="L10" s="25"/>
    </row>
    <row r="11" ht="19.5" customHeight="1">
      <c r="A11" s="24">
        <v>10.0</v>
      </c>
      <c r="B11" s="24" t="s">
        <v>1059</v>
      </c>
      <c r="C11" s="24" t="s">
        <v>528</v>
      </c>
      <c r="D11" s="24" t="s">
        <v>1094</v>
      </c>
      <c r="E11" s="24" t="s">
        <v>581</v>
      </c>
      <c r="F11" s="24" t="s">
        <v>609</v>
      </c>
      <c r="G11" s="25"/>
      <c r="H11" s="24" t="s">
        <v>911</v>
      </c>
      <c r="I11" s="24" t="s">
        <v>1095</v>
      </c>
      <c r="J11" s="24" t="s">
        <v>1066</v>
      </c>
      <c r="K11" s="26">
        <v>46291.0</v>
      </c>
      <c r="L11" s="25"/>
    </row>
    <row r="12" ht="19.5" customHeight="1">
      <c r="A12" s="24">
        <v>11.0</v>
      </c>
      <c r="B12" s="24" t="s">
        <v>1059</v>
      </c>
      <c r="C12" s="24" t="s">
        <v>528</v>
      </c>
      <c r="D12" s="24" t="s">
        <v>1090</v>
      </c>
      <c r="E12" s="24" t="s">
        <v>446</v>
      </c>
      <c r="F12" s="24" t="s">
        <v>447</v>
      </c>
      <c r="G12" s="25"/>
      <c r="H12" s="24" t="s">
        <v>911</v>
      </c>
      <c r="I12" s="24" t="s">
        <v>1093</v>
      </c>
      <c r="J12" s="24" t="s">
        <v>1066</v>
      </c>
      <c r="K12" s="26">
        <v>46291.0</v>
      </c>
      <c r="L12" s="25"/>
    </row>
    <row r="13" ht="19.5" customHeight="1">
      <c r="A13" s="24">
        <v>12.0</v>
      </c>
      <c r="B13" s="24" t="s">
        <v>1059</v>
      </c>
      <c r="C13" s="24" t="s">
        <v>528</v>
      </c>
      <c r="D13" s="24" t="s">
        <v>1096</v>
      </c>
      <c r="E13" s="24" t="s">
        <v>446</v>
      </c>
      <c r="F13" s="24" t="s">
        <v>447</v>
      </c>
      <c r="G13" s="25"/>
      <c r="H13" s="24" t="s">
        <v>911</v>
      </c>
      <c r="I13" s="24" t="s">
        <v>1097</v>
      </c>
      <c r="J13" s="24" t="s">
        <v>1066</v>
      </c>
      <c r="K13" s="26">
        <v>46291.0</v>
      </c>
      <c r="L13" s="25"/>
    </row>
    <row r="14" ht="19.5" customHeight="1">
      <c r="A14" s="24">
        <v>13.0</v>
      </c>
      <c r="B14" s="24" t="s">
        <v>1059</v>
      </c>
      <c r="C14" s="24" t="s">
        <v>528</v>
      </c>
      <c r="D14" s="24" t="s">
        <v>1101</v>
      </c>
      <c r="E14" s="24" t="s">
        <v>446</v>
      </c>
      <c r="F14" s="24" t="s">
        <v>447</v>
      </c>
      <c r="G14" s="25"/>
      <c r="H14" s="24" t="s">
        <v>911</v>
      </c>
      <c r="I14" s="24" t="s">
        <v>1102</v>
      </c>
      <c r="J14" s="24" t="s">
        <v>1066</v>
      </c>
      <c r="K14" s="26">
        <v>46291.0</v>
      </c>
      <c r="L14" s="25"/>
    </row>
    <row r="15" ht="19.5" customHeight="1">
      <c r="A15" s="24">
        <v>14.0</v>
      </c>
      <c r="B15" s="24" t="s">
        <v>1059</v>
      </c>
      <c r="C15" s="24" t="s">
        <v>528</v>
      </c>
      <c r="D15" s="24" t="s">
        <v>1104</v>
      </c>
      <c r="E15" s="24" t="s">
        <v>446</v>
      </c>
      <c r="F15" s="24" t="s">
        <v>447</v>
      </c>
      <c r="G15" s="25"/>
      <c r="H15" s="24" t="s">
        <v>911</v>
      </c>
      <c r="I15" s="24" t="s">
        <v>1105</v>
      </c>
      <c r="J15" s="24" t="s">
        <v>1066</v>
      </c>
      <c r="K15" s="26">
        <v>46291.0</v>
      </c>
      <c r="L15" s="25"/>
    </row>
    <row r="16" ht="19.5" customHeight="1">
      <c r="A16" s="24">
        <v>15.0</v>
      </c>
      <c r="B16" s="24" t="s">
        <v>1059</v>
      </c>
      <c r="C16" s="24" t="s">
        <v>528</v>
      </c>
      <c r="D16" s="24" t="s">
        <v>1108</v>
      </c>
      <c r="E16" s="24" t="s">
        <v>446</v>
      </c>
      <c r="F16" s="24" t="s">
        <v>447</v>
      </c>
      <c r="G16" s="25"/>
      <c r="H16" s="24" t="s">
        <v>911</v>
      </c>
      <c r="I16" s="24" t="s">
        <v>1110</v>
      </c>
      <c r="J16" s="24" t="s">
        <v>1066</v>
      </c>
      <c r="K16" s="26">
        <v>46291.0</v>
      </c>
      <c r="L16" s="25"/>
    </row>
    <row r="17" ht="19.5" customHeight="1">
      <c r="A17" s="24">
        <v>16.0</v>
      </c>
      <c r="B17" s="24" t="s">
        <v>1059</v>
      </c>
      <c r="C17" s="24" t="s">
        <v>528</v>
      </c>
      <c r="D17" s="24" t="s">
        <v>1111</v>
      </c>
      <c r="E17" s="24" t="s">
        <v>446</v>
      </c>
      <c r="F17" s="24" t="s">
        <v>447</v>
      </c>
      <c r="G17" s="25"/>
      <c r="H17" s="24" t="s">
        <v>911</v>
      </c>
      <c r="I17" s="24" t="s">
        <v>1113</v>
      </c>
      <c r="J17" s="24" t="s">
        <v>1066</v>
      </c>
      <c r="K17" s="26">
        <v>46291.0</v>
      </c>
      <c r="L17" s="25"/>
    </row>
    <row r="18" ht="19.5" customHeight="1">
      <c r="A18" s="24">
        <v>17.0</v>
      </c>
      <c r="B18" s="24" t="s">
        <v>1059</v>
      </c>
      <c r="C18" s="24" t="s">
        <v>528</v>
      </c>
      <c r="D18" s="24" t="s">
        <v>1114</v>
      </c>
      <c r="E18" s="24" t="s">
        <v>408</v>
      </c>
      <c r="F18" s="24" t="s">
        <v>409</v>
      </c>
      <c r="G18" s="25"/>
      <c r="H18" s="24" t="s">
        <v>570</v>
      </c>
      <c r="I18" s="24" t="s">
        <v>1116</v>
      </c>
      <c r="J18" s="24" t="s">
        <v>1066</v>
      </c>
      <c r="K18" s="26">
        <v>46291.0</v>
      </c>
      <c r="L18" s="25"/>
    </row>
    <row r="19" ht="19.5" customHeight="1">
      <c r="A19" s="24">
        <v>18.0</v>
      </c>
      <c r="B19" s="24" t="s">
        <v>1059</v>
      </c>
      <c r="C19" s="24" t="s">
        <v>528</v>
      </c>
      <c r="D19" s="24" t="s">
        <v>1118</v>
      </c>
      <c r="E19" s="24" t="s">
        <v>446</v>
      </c>
      <c r="F19" s="24" t="s">
        <v>447</v>
      </c>
      <c r="G19" s="25"/>
      <c r="H19" s="24" t="s">
        <v>911</v>
      </c>
      <c r="I19" s="24" t="s">
        <v>1119</v>
      </c>
      <c r="J19" s="24" t="s">
        <v>1066</v>
      </c>
      <c r="K19" s="26">
        <v>46291.0</v>
      </c>
      <c r="L19" s="25"/>
    </row>
    <row r="20" ht="19.5" customHeight="1">
      <c r="A20" s="24">
        <v>19.0</v>
      </c>
      <c r="B20" s="24" t="s">
        <v>1059</v>
      </c>
      <c r="C20" s="24" t="s">
        <v>528</v>
      </c>
      <c r="D20" s="24" t="s">
        <v>1121</v>
      </c>
      <c r="E20" s="24" t="s">
        <v>446</v>
      </c>
      <c r="F20" s="24" t="s">
        <v>474</v>
      </c>
      <c r="G20" s="25"/>
      <c r="H20" s="24" t="s">
        <v>570</v>
      </c>
      <c r="I20" s="24" t="s">
        <v>1123</v>
      </c>
      <c r="J20" s="24" t="s">
        <v>1066</v>
      </c>
      <c r="K20" s="26">
        <v>46291.0</v>
      </c>
      <c r="L20" s="25"/>
    </row>
    <row r="21" ht="19.5" customHeight="1">
      <c r="A21" s="24">
        <v>20.0</v>
      </c>
      <c r="B21" s="24" t="s">
        <v>1059</v>
      </c>
      <c r="C21" s="24" t="s">
        <v>528</v>
      </c>
      <c r="D21" s="24" t="s">
        <v>1124</v>
      </c>
      <c r="E21" s="24" t="s">
        <v>446</v>
      </c>
      <c r="F21" s="24" t="s">
        <v>456</v>
      </c>
      <c r="G21" s="25"/>
      <c r="H21" s="24" t="s">
        <v>570</v>
      </c>
      <c r="I21" s="24" t="s">
        <v>1125</v>
      </c>
      <c r="J21" s="24" t="s">
        <v>1066</v>
      </c>
      <c r="K21" s="26">
        <v>46291.0</v>
      </c>
      <c r="L21" s="25"/>
    </row>
    <row r="22" ht="19.5" customHeight="1">
      <c r="A22" s="24">
        <v>21.0</v>
      </c>
      <c r="B22" s="24" t="s">
        <v>1059</v>
      </c>
      <c r="C22" s="24" t="s">
        <v>528</v>
      </c>
      <c r="D22" s="24" t="s">
        <v>1124</v>
      </c>
      <c r="E22" s="24" t="s">
        <v>446</v>
      </c>
      <c r="F22" s="24" t="s">
        <v>465</v>
      </c>
      <c r="G22" s="25"/>
      <c r="H22" s="24" t="s">
        <v>570</v>
      </c>
      <c r="I22" s="24" t="s">
        <v>1125</v>
      </c>
      <c r="J22" s="24" t="s">
        <v>1066</v>
      </c>
      <c r="K22" s="26">
        <v>46291.0</v>
      </c>
      <c r="L22" s="25"/>
    </row>
    <row r="23" ht="19.5" customHeight="1">
      <c r="A23" s="24">
        <v>22.0</v>
      </c>
      <c r="B23" s="24" t="s">
        <v>1059</v>
      </c>
      <c r="C23" s="24" t="s">
        <v>528</v>
      </c>
      <c r="D23" s="24" t="s">
        <v>1127</v>
      </c>
      <c r="E23" s="24" t="s">
        <v>446</v>
      </c>
      <c r="F23" s="24" t="s">
        <v>483</v>
      </c>
      <c r="G23" s="25"/>
      <c r="H23" s="24" t="s">
        <v>570</v>
      </c>
      <c r="I23" s="24" t="s">
        <v>1129</v>
      </c>
      <c r="J23" s="24" t="s">
        <v>1066</v>
      </c>
      <c r="K23" s="26">
        <v>46291.0</v>
      </c>
      <c r="L23" s="25"/>
    </row>
    <row r="24" ht="19.5" customHeight="1">
      <c r="A24" s="24">
        <v>23.0</v>
      </c>
      <c r="B24" s="24" t="s">
        <v>1059</v>
      </c>
      <c r="C24" s="24" t="s">
        <v>528</v>
      </c>
      <c r="D24" s="24" t="s">
        <v>1130</v>
      </c>
      <c r="E24" s="24" t="s">
        <v>496</v>
      </c>
      <c r="F24" s="24" t="s">
        <v>539</v>
      </c>
      <c r="G24" s="25"/>
      <c r="H24" s="24" t="s">
        <v>911</v>
      </c>
      <c r="I24" s="24" t="s">
        <v>1132</v>
      </c>
      <c r="J24" s="24" t="s">
        <v>1066</v>
      </c>
      <c r="K24" s="26">
        <v>46291.0</v>
      </c>
      <c r="L24" s="25"/>
    </row>
    <row r="25" ht="19.5" customHeight="1">
      <c r="A25" s="24">
        <v>24.0</v>
      </c>
      <c r="B25" s="24" t="s">
        <v>1059</v>
      </c>
      <c r="C25" s="24" t="s">
        <v>528</v>
      </c>
      <c r="D25" s="24" t="s">
        <v>1134</v>
      </c>
      <c r="E25" s="24" t="s">
        <v>62</v>
      </c>
      <c r="F25" s="24" t="s">
        <v>166</v>
      </c>
      <c r="G25" s="25"/>
      <c r="H25" s="24" t="s">
        <v>570</v>
      </c>
      <c r="I25" s="24" t="s">
        <v>1136</v>
      </c>
      <c r="J25" s="24" t="s">
        <v>1066</v>
      </c>
      <c r="K25" s="26">
        <v>46291.0</v>
      </c>
      <c r="L25" s="25"/>
    </row>
    <row r="26" ht="19.5" customHeight="1">
      <c r="A26" s="24">
        <v>25.0</v>
      </c>
      <c r="B26" s="24" t="s">
        <v>1059</v>
      </c>
      <c r="C26" s="24" t="s">
        <v>528</v>
      </c>
      <c r="D26" s="24" t="s">
        <v>1134</v>
      </c>
      <c r="E26" s="24" t="s">
        <v>581</v>
      </c>
      <c r="F26" s="24" t="s">
        <v>583</v>
      </c>
      <c r="G26" s="25"/>
      <c r="H26" s="24" t="s">
        <v>570</v>
      </c>
      <c r="I26" s="24" t="s">
        <v>1136</v>
      </c>
      <c r="J26" s="24" t="s">
        <v>1066</v>
      </c>
      <c r="K26" s="26">
        <v>46291.0</v>
      </c>
      <c r="L26" s="25"/>
    </row>
    <row r="27" ht="19.5" customHeight="1">
      <c r="A27" s="24">
        <v>26.0</v>
      </c>
      <c r="B27" s="24" t="s">
        <v>1059</v>
      </c>
      <c r="C27" s="24" t="s">
        <v>528</v>
      </c>
      <c r="D27" s="24" t="s">
        <v>1139</v>
      </c>
      <c r="E27" s="24" t="s">
        <v>446</v>
      </c>
      <c r="F27" s="24" t="s">
        <v>483</v>
      </c>
      <c r="G27" s="25"/>
      <c r="H27" s="24" t="s">
        <v>911</v>
      </c>
      <c r="I27" s="24" t="s">
        <v>1141</v>
      </c>
      <c r="J27" s="24" t="s">
        <v>1066</v>
      </c>
      <c r="K27" s="26">
        <v>46291.0</v>
      </c>
      <c r="L27" s="25"/>
    </row>
    <row r="28" ht="19.5" customHeight="1">
      <c r="A28" s="24">
        <v>27.0</v>
      </c>
      <c r="B28" s="24" t="s">
        <v>1059</v>
      </c>
      <c r="C28" s="24" t="s">
        <v>528</v>
      </c>
      <c r="D28" s="24" t="s">
        <v>1143</v>
      </c>
      <c r="E28" s="24" t="s">
        <v>496</v>
      </c>
      <c r="F28" s="24" t="s">
        <v>556</v>
      </c>
      <c r="G28" s="25"/>
      <c r="H28" s="24" t="s">
        <v>570</v>
      </c>
      <c r="I28" s="24" t="s">
        <v>1144</v>
      </c>
      <c r="J28" s="24" t="s">
        <v>1066</v>
      </c>
      <c r="K28" s="26">
        <v>46291.0</v>
      </c>
      <c r="L28" s="25"/>
    </row>
    <row r="29" ht="19.5" customHeight="1">
      <c r="A29" s="24">
        <v>28.0</v>
      </c>
      <c r="B29" s="24" t="s">
        <v>1059</v>
      </c>
      <c r="C29" s="24" t="s">
        <v>528</v>
      </c>
      <c r="D29" s="24" t="s">
        <v>1147</v>
      </c>
      <c r="E29" s="24" t="s">
        <v>496</v>
      </c>
      <c r="F29" s="24" t="s">
        <v>510</v>
      </c>
      <c r="G29" s="25"/>
      <c r="H29" s="24" t="s">
        <v>911</v>
      </c>
      <c r="I29" s="24" t="s">
        <v>1150</v>
      </c>
      <c r="J29" s="24" t="s">
        <v>1066</v>
      </c>
      <c r="K29" s="26">
        <v>46291.0</v>
      </c>
      <c r="L29" s="25"/>
    </row>
    <row r="30" ht="19.5" customHeight="1">
      <c r="A30" s="24">
        <v>29.0</v>
      </c>
      <c r="B30" s="24" t="s">
        <v>1059</v>
      </c>
      <c r="C30" s="24" t="s">
        <v>528</v>
      </c>
      <c r="D30" s="24" t="s">
        <v>1154</v>
      </c>
      <c r="E30" s="24" t="s">
        <v>496</v>
      </c>
      <c r="F30" s="24" t="s">
        <v>523</v>
      </c>
      <c r="G30" s="25"/>
      <c r="H30" s="24" t="s">
        <v>570</v>
      </c>
      <c r="I30" s="24" t="s">
        <v>1157</v>
      </c>
      <c r="J30" s="24" t="s">
        <v>1066</v>
      </c>
      <c r="K30" s="26">
        <v>46291.0</v>
      </c>
      <c r="L30" s="25"/>
    </row>
    <row r="31" ht="19.5" customHeight="1">
      <c r="A31" s="24">
        <v>30.0</v>
      </c>
      <c r="B31" s="24" t="s">
        <v>1059</v>
      </c>
      <c r="C31" s="24" t="s">
        <v>528</v>
      </c>
      <c r="D31" s="24" t="s">
        <v>1160</v>
      </c>
      <c r="E31" s="24" t="s">
        <v>446</v>
      </c>
      <c r="F31" s="24" t="s">
        <v>447</v>
      </c>
      <c r="G31" s="25"/>
      <c r="H31" s="24" t="s">
        <v>911</v>
      </c>
      <c r="I31" s="24" t="s">
        <v>1163</v>
      </c>
      <c r="J31" s="24" t="s">
        <v>1066</v>
      </c>
      <c r="K31" s="26">
        <v>46291.0</v>
      </c>
      <c r="L31" s="25"/>
    </row>
    <row r="32" ht="19.5" customHeight="1">
      <c r="A32" s="24">
        <v>31.0</v>
      </c>
      <c r="B32" s="24" t="s">
        <v>1059</v>
      </c>
      <c r="C32" s="24" t="s">
        <v>528</v>
      </c>
      <c r="D32" s="24" t="s">
        <v>1164</v>
      </c>
      <c r="E32" s="24" t="s">
        <v>496</v>
      </c>
      <c r="F32" s="24" t="s">
        <v>498</v>
      </c>
      <c r="G32" s="25"/>
      <c r="H32" s="24" t="s">
        <v>911</v>
      </c>
      <c r="I32" s="24" t="s">
        <v>1165</v>
      </c>
      <c r="J32" s="24" t="s">
        <v>1066</v>
      </c>
      <c r="K32" s="26">
        <v>46291.0</v>
      </c>
      <c r="L32" s="25"/>
    </row>
    <row r="33" ht="19.5" customHeight="1">
      <c r="A33" s="24">
        <v>32.0</v>
      </c>
      <c r="B33" s="24" t="s">
        <v>1059</v>
      </c>
      <c r="C33" s="24" t="s">
        <v>528</v>
      </c>
      <c r="D33" s="24" t="s">
        <v>1168</v>
      </c>
      <c r="E33" s="24" t="s">
        <v>581</v>
      </c>
      <c r="F33" s="24" t="s">
        <v>583</v>
      </c>
      <c r="G33" s="25"/>
      <c r="H33" s="24" t="s">
        <v>570</v>
      </c>
      <c r="I33" s="24" t="s">
        <v>1171</v>
      </c>
      <c r="J33" s="24" t="s">
        <v>1066</v>
      </c>
      <c r="K33" s="26">
        <v>46291.0</v>
      </c>
      <c r="L33" s="25"/>
    </row>
    <row r="34" ht="19.5" customHeight="1">
      <c r="A34" s="24">
        <v>33.0</v>
      </c>
      <c r="B34" s="24" t="s">
        <v>1059</v>
      </c>
      <c r="C34" s="24" t="s">
        <v>528</v>
      </c>
      <c r="D34" s="24" t="s">
        <v>1175</v>
      </c>
      <c r="E34" s="24" t="s">
        <v>581</v>
      </c>
      <c r="F34" s="24" t="s">
        <v>651</v>
      </c>
      <c r="G34" s="25"/>
      <c r="H34" s="24" t="s">
        <v>570</v>
      </c>
      <c r="I34" s="24" t="s">
        <v>1176</v>
      </c>
      <c r="J34" s="24" t="s">
        <v>1066</v>
      </c>
      <c r="K34" s="26">
        <v>46291.0</v>
      </c>
      <c r="L34" s="25"/>
    </row>
    <row r="35" ht="19.5" customHeight="1">
      <c r="A35" s="24">
        <v>34.0</v>
      </c>
      <c r="B35" s="24" t="s">
        <v>1059</v>
      </c>
      <c r="C35" s="24" t="s">
        <v>528</v>
      </c>
      <c r="D35" s="24" t="s">
        <v>1178</v>
      </c>
      <c r="E35" s="24" t="s">
        <v>581</v>
      </c>
      <c r="F35" s="24" t="s">
        <v>666</v>
      </c>
      <c r="G35" s="25"/>
      <c r="H35" s="24" t="s">
        <v>570</v>
      </c>
      <c r="I35" s="24" t="s">
        <v>1182</v>
      </c>
      <c r="J35" s="24" t="s">
        <v>1066</v>
      </c>
      <c r="K35" s="26">
        <v>46291.0</v>
      </c>
      <c r="L35" s="25"/>
    </row>
    <row r="36" ht="19.5" customHeight="1">
      <c r="A36" s="24">
        <v>35.0</v>
      </c>
      <c r="B36" s="24" t="s">
        <v>1059</v>
      </c>
      <c r="C36" s="24" t="s">
        <v>528</v>
      </c>
      <c r="D36" s="24" t="s">
        <v>1185</v>
      </c>
      <c r="E36" s="24" t="s">
        <v>581</v>
      </c>
      <c r="F36" s="24" t="s">
        <v>609</v>
      </c>
      <c r="G36" s="25"/>
      <c r="H36" s="24" t="s">
        <v>911</v>
      </c>
      <c r="I36" s="24" t="s">
        <v>1187</v>
      </c>
      <c r="J36" s="24" t="s">
        <v>1066</v>
      </c>
      <c r="K36" s="26">
        <v>46291.0</v>
      </c>
      <c r="L36" s="25"/>
    </row>
    <row r="37" ht="19.5" customHeight="1">
      <c r="A37" s="24">
        <v>36.0</v>
      </c>
      <c r="B37" s="24" t="s">
        <v>1059</v>
      </c>
      <c r="C37" s="24" t="s">
        <v>528</v>
      </c>
      <c r="D37" s="24" t="s">
        <v>1189</v>
      </c>
      <c r="E37" s="24" t="s">
        <v>581</v>
      </c>
      <c r="F37" s="24" t="s">
        <v>609</v>
      </c>
      <c r="G37" s="25"/>
      <c r="H37" s="24" t="s">
        <v>911</v>
      </c>
      <c r="I37" s="24" t="s">
        <v>1191</v>
      </c>
      <c r="J37" s="24" t="s">
        <v>1066</v>
      </c>
      <c r="K37" s="26">
        <v>46291.0</v>
      </c>
      <c r="L37" s="25"/>
    </row>
    <row r="38" ht="19.5" customHeight="1">
      <c r="A38" s="24">
        <v>37.0</v>
      </c>
      <c r="B38" s="24" t="s">
        <v>1059</v>
      </c>
      <c r="C38" s="24" t="s">
        <v>528</v>
      </c>
      <c r="D38" s="24" t="s">
        <v>1194</v>
      </c>
      <c r="E38" s="24" t="s">
        <v>581</v>
      </c>
      <c r="F38" s="24" t="s">
        <v>597</v>
      </c>
      <c r="G38" s="25"/>
      <c r="H38" s="24" t="s">
        <v>570</v>
      </c>
      <c r="I38" s="24" t="s">
        <v>1195</v>
      </c>
      <c r="J38" s="24" t="s">
        <v>1066</v>
      </c>
      <c r="K38" s="26">
        <v>46291.0</v>
      </c>
      <c r="L38" s="25"/>
    </row>
    <row r="39" ht="19.5" customHeight="1">
      <c r="A39" s="24">
        <v>38.0</v>
      </c>
      <c r="B39" s="24" t="s">
        <v>1196</v>
      </c>
      <c r="C39" s="24" t="s">
        <v>528</v>
      </c>
      <c r="D39" s="24" t="s">
        <v>1064</v>
      </c>
      <c r="E39" s="24" t="s">
        <v>62</v>
      </c>
      <c r="F39" s="24" t="s">
        <v>65</v>
      </c>
      <c r="G39" s="25"/>
      <c r="H39" s="24" t="s">
        <v>570</v>
      </c>
      <c r="I39" s="24" t="s">
        <v>1197</v>
      </c>
      <c r="J39" s="24" t="s">
        <v>1066</v>
      </c>
      <c r="K39" s="26">
        <v>46291.0</v>
      </c>
      <c r="L39" s="25"/>
    </row>
    <row r="40" ht="19.5" customHeight="1">
      <c r="A40" s="24">
        <v>39.0</v>
      </c>
      <c r="B40" s="24" t="s">
        <v>1196</v>
      </c>
      <c r="C40" s="24" t="s">
        <v>528</v>
      </c>
      <c r="D40" s="24" t="s">
        <v>1070</v>
      </c>
      <c r="E40" s="24" t="s">
        <v>408</v>
      </c>
      <c r="F40" s="24" t="s">
        <v>436</v>
      </c>
      <c r="G40" s="25"/>
      <c r="H40" s="24" t="s">
        <v>570</v>
      </c>
      <c r="I40" s="24" t="s">
        <v>1198</v>
      </c>
      <c r="J40" s="24" t="s">
        <v>1066</v>
      </c>
      <c r="K40" s="26">
        <v>46291.0</v>
      </c>
      <c r="L40" s="25"/>
    </row>
    <row r="41" ht="19.5" customHeight="1">
      <c r="A41" s="24">
        <v>40.0</v>
      </c>
      <c r="B41" s="24" t="s">
        <v>1196</v>
      </c>
      <c r="C41" s="24" t="s">
        <v>528</v>
      </c>
      <c r="D41" s="24" t="s">
        <v>1199</v>
      </c>
      <c r="E41" s="24" t="s">
        <v>62</v>
      </c>
      <c r="F41" s="24" t="s">
        <v>129</v>
      </c>
      <c r="G41" s="25"/>
      <c r="H41" s="24" t="s">
        <v>570</v>
      </c>
      <c r="I41" s="24" t="s">
        <v>1200</v>
      </c>
      <c r="J41" s="24" t="s">
        <v>1066</v>
      </c>
      <c r="K41" s="26">
        <v>46291.0</v>
      </c>
      <c r="L41" s="25"/>
    </row>
    <row r="42" ht="19.5" customHeight="1">
      <c r="A42" s="24">
        <v>41.0</v>
      </c>
      <c r="B42" s="24" t="s">
        <v>1196</v>
      </c>
      <c r="C42" s="24" t="s">
        <v>528</v>
      </c>
      <c r="D42" s="24" t="s">
        <v>1201</v>
      </c>
      <c r="E42" s="24" t="s">
        <v>408</v>
      </c>
      <c r="F42" s="24" t="s">
        <v>429</v>
      </c>
      <c r="G42" s="25"/>
      <c r="H42" s="24" t="s">
        <v>570</v>
      </c>
      <c r="I42" s="24" t="s">
        <v>1202</v>
      </c>
      <c r="J42" s="24" t="s">
        <v>1066</v>
      </c>
      <c r="K42" s="26">
        <v>46291.0</v>
      </c>
      <c r="L42" s="25"/>
    </row>
    <row r="43" ht="19.5" customHeight="1">
      <c r="A43" s="24">
        <v>42.0</v>
      </c>
      <c r="B43" s="24" t="s">
        <v>1196</v>
      </c>
      <c r="C43" s="24" t="s">
        <v>528</v>
      </c>
      <c r="D43" s="24" t="s">
        <v>1203</v>
      </c>
      <c r="E43" s="24" t="s">
        <v>62</v>
      </c>
      <c r="F43" s="24" t="s">
        <v>154</v>
      </c>
      <c r="G43" s="25"/>
      <c r="H43" s="24" t="s">
        <v>570</v>
      </c>
      <c r="I43" s="24" t="s">
        <v>1204</v>
      </c>
      <c r="J43" s="24" t="s">
        <v>1066</v>
      </c>
      <c r="K43" s="26">
        <v>46291.0</v>
      </c>
      <c r="L43" s="25"/>
    </row>
    <row r="44" ht="19.5" customHeight="1">
      <c r="A44" s="24">
        <v>43.0</v>
      </c>
      <c r="B44" s="24" t="s">
        <v>1196</v>
      </c>
      <c r="C44" s="24" t="s">
        <v>528</v>
      </c>
      <c r="D44" s="24" t="s">
        <v>1205</v>
      </c>
      <c r="E44" s="24" t="s">
        <v>581</v>
      </c>
      <c r="F44" s="24" t="s">
        <v>597</v>
      </c>
      <c r="G44" s="25"/>
      <c r="H44" s="24" t="s">
        <v>570</v>
      </c>
      <c r="I44" s="24" t="s">
        <v>1206</v>
      </c>
      <c r="J44" s="24" t="s">
        <v>1066</v>
      </c>
      <c r="K44" s="26">
        <v>46291.0</v>
      </c>
      <c r="L44" s="25"/>
    </row>
    <row r="45" ht="19.5" customHeight="1">
      <c r="A45" s="24">
        <v>44.0</v>
      </c>
      <c r="B45" s="24" t="s">
        <v>1196</v>
      </c>
      <c r="C45" s="24" t="s">
        <v>528</v>
      </c>
      <c r="D45" s="24" t="s">
        <v>1207</v>
      </c>
      <c r="E45" s="24" t="s">
        <v>446</v>
      </c>
      <c r="F45" s="24" t="s">
        <v>447</v>
      </c>
      <c r="G45" s="25"/>
      <c r="H45" s="24" t="s">
        <v>911</v>
      </c>
      <c r="I45" s="24" t="s">
        <v>1208</v>
      </c>
      <c r="J45" s="24" t="s">
        <v>1066</v>
      </c>
      <c r="K45" s="26">
        <v>46291.0</v>
      </c>
      <c r="L45" s="25"/>
    </row>
    <row r="46" ht="19.5" customHeight="1">
      <c r="A46" s="24">
        <v>45.0</v>
      </c>
      <c r="B46" s="24" t="s">
        <v>1196</v>
      </c>
      <c r="C46" s="24" t="s">
        <v>528</v>
      </c>
      <c r="D46" s="24" t="s">
        <v>1209</v>
      </c>
      <c r="E46" s="24" t="s">
        <v>446</v>
      </c>
      <c r="F46" s="24" t="s">
        <v>447</v>
      </c>
      <c r="G46" s="25"/>
      <c r="H46" s="24" t="s">
        <v>911</v>
      </c>
      <c r="I46" s="24" t="s">
        <v>1210</v>
      </c>
      <c r="J46" s="24" t="s">
        <v>1066</v>
      </c>
      <c r="K46" s="26">
        <v>46291.0</v>
      </c>
      <c r="L46" s="25"/>
    </row>
    <row r="47" ht="19.5" customHeight="1">
      <c r="A47" s="24">
        <v>46.0</v>
      </c>
      <c r="B47" s="24" t="s">
        <v>1196</v>
      </c>
      <c r="C47" s="24" t="s">
        <v>528</v>
      </c>
      <c r="D47" s="24" t="s">
        <v>1211</v>
      </c>
      <c r="E47" s="24" t="s">
        <v>581</v>
      </c>
      <c r="F47" s="24" t="s">
        <v>597</v>
      </c>
      <c r="G47" s="25"/>
      <c r="H47" s="24" t="s">
        <v>570</v>
      </c>
      <c r="I47" s="24" t="s">
        <v>1212</v>
      </c>
      <c r="J47" s="24" t="s">
        <v>1066</v>
      </c>
      <c r="K47" s="26">
        <v>46291.0</v>
      </c>
      <c r="L47" s="25"/>
    </row>
    <row r="48" ht="19.5" customHeight="1">
      <c r="A48" s="24">
        <v>47.0</v>
      </c>
      <c r="B48" s="24" t="s">
        <v>1196</v>
      </c>
      <c r="C48" s="24" t="s">
        <v>528</v>
      </c>
      <c r="D48" s="24" t="s">
        <v>1213</v>
      </c>
      <c r="E48" s="24" t="s">
        <v>581</v>
      </c>
      <c r="F48" s="24" t="s">
        <v>597</v>
      </c>
      <c r="G48" s="25"/>
      <c r="H48" s="24" t="s">
        <v>570</v>
      </c>
      <c r="I48" s="24" t="s">
        <v>1214</v>
      </c>
      <c r="J48" s="24" t="s">
        <v>1066</v>
      </c>
      <c r="K48" s="26">
        <v>46291.0</v>
      </c>
      <c r="L48" s="25"/>
    </row>
    <row r="49" ht="19.5" customHeight="1">
      <c r="A49" s="24">
        <v>48.0</v>
      </c>
      <c r="B49" s="24" t="s">
        <v>1196</v>
      </c>
      <c r="C49" s="24" t="s">
        <v>528</v>
      </c>
      <c r="D49" s="24" t="s">
        <v>1215</v>
      </c>
      <c r="E49" s="24" t="s">
        <v>446</v>
      </c>
      <c r="F49" s="24" t="s">
        <v>447</v>
      </c>
      <c r="G49" s="25"/>
      <c r="H49" s="24" t="s">
        <v>911</v>
      </c>
      <c r="I49" s="24" t="s">
        <v>1216</v>
      </c>
      <c r="J49" s="24" t="s">
        <v>1066</v>
      </c>
      <c r="K49" s="26">
        <v>46291.0</v>
      </c>
      <c r="L49" s="25"/>
    </row>
    <row r="50" ht="19.5" customHeight="1">
      <c r="A50" s="24">
        <v>49.0</v>
      </c>
      <c r="B50" s="24" t="s">
        <v>1196</v>
      </c>
      <c r="C50" s="24" t="s">
        <v>528</v>
      </c>
      <c r="D50" s="24" t="s">
        <v>1217</v>
      </c>
      <c r="E50" s="24" t="s">
        <v>446</v>
      </c>
      <c r="F50" s="24" t="s">
        <v>447</v>
      </c>
      <c r="G50" s="25"/>
      <c r="H50" s="24" t="s">
        <v>911</v>
      </c>
      <c r="I50" s="24" t="s">
        <v>1218</v>
      </c>
      <c r="J50" s="24" t="s">
        <v>1066</v>
      </c>
      <c r="K50" s="26">
        <v>46291.0</v>
      </c>
      <c r="L50" s="25"/>
    </row>
    <row r="51" ht="19.5" customHeight="1">
      <c r="A51" s="24">
        <v>50.0</v>
      </c>
      <c r="B51" s="24" t="s">
        <v>1196</v>
      </c>
      <c r="C51" s="24" t="s">
        <v>528</v>
      </c>
      <c r="D51" s="24" t="s">
        <v>1219</v>
      </c>
      <c r="E51" s="24" t="s">
        <v>446</v>
      </c>
      <c r="F51" s="24" t="s">
        <v>456</v>
      </c>
      <c r="G51" s="25"/>
      <c r="H51" s="24" t="s">
        <v>570</v>
      </c>
      <c r="I51" s="24" t="s">
        <v>1220</v>
      </c>
      <c r="J51" s="24" t="s">
        <v>1066</v>
      </c>
      <c r="K51" s="26">
        <v>46291.0</v>
      </c>
      <c r="L51" s="25"/>
    </row>
    <row r="52" ht="19.5" customHeight="1">
      <c r="A52" s="24">
        <v>51.0</v>
      </c>
      <c r="B52" s="24" t="s">
        <v>1196</v>
      </c>
      <c r="C52" s="24" t="s">
        <v>528</v>
      </c>
      <c r="D52" s="24" t="s">
        <v>1221</v>
      </c>
      <c r="E52" s="24" t="s">
        <v>446</v>
      </c>
      <c r="F52" s="24" t="s">
        <v>447</v>
      </c>
      <c r="G52" s="25"/>
      <c r="H52" s="24" t="s">
        <v>911</v>
      </c>
      <c r="I52" s="24" t="s">
        <v>1222</v>
      </c>
      <c r="J52" s="24" t="s">
        <v>1066</v>
      </c>
      <c r="K52" s="26">
        <v>46291.0</v>
      </c>
      <c r="L52" s="25"/>
    </row>
    <row r="53" ht="19.5" customHeight="1">
      <c r="A53" s="24">
        <v>52.0</v>
      </c>
      <c r="B53" s="24" t="s">
        <v>1196</v>
      </c>
      <c r="C53" s="24" t="s">
        <v>528</v>
      </c>
      <c r="D53" s="24" t="s">
        <v>1223</v>
      </c>
      <c r="E53" s="24" t="s">
        <v>446</v>
      </c>
      <c r="F53" s="24" t="s">
        <v>447</v>
      </c>
      <c r="G53" s="25"/>
      <c r="H53" s="24" t="s">
        <v>911</v>
      </c>
      <c r="I53" s="24" t="s">
        <v>1224</v>
      </c>
      <c r="J53" s="24" t="s">
        <v>1066</v>
      </c>
      <c r="K53" s="26">
        <v>46291.0</v>
      </c>
      <c r="L53" s="25"/>
    </row>
    <row r="54" ht="19.5" customHeight="1">
      <c r="A54" s="24">
        <v>53.0</v>
      </c>
      <c r="B54" s="24" t="s">
        <v>1196</v>
      </c>
      <c r="C54" s="24" t="s">
        <v>528</v>
      </c>
      <c r="D54" s="24" t="s">
        <v>1225</v>
      </c>
      <c r="E54" s="24" t="s">
        <v>496</v>
      </c>
      <c r="F54" s="24" t="s">
        <v>523</v>
      </c>
      <c r="G54" s="25"/>
      <c r="H54" s="24" t="s">
        <v>570</v>
      </c>
      <c r="I54" s="24" t="s">
        <v>1226</v>
      </c>
      <c r="J54" s="24" t="s">
        <v>1066</v>
      </c>
      <c r="K54" s="26">
        <v>46291.0</v>
      </c>
      <c r="L54" s="25"/>
    </row>
    <row r="55" ht="19.5" customHeight="1">
      <c r="A55" s="24">
        <v>54.0</v>
      </c>
      <c r="B55" s="24" t="s">
        <v>1196</v>
      </c>
      <c r="C55" s="24" t="s">
        <v>528</v>
      </c>
      <c r="D55" s="24" t="s">
        <v>1227</v>
      </c>
      <c r="E55" s="24" t="s">
        <v>446</v>
      </c>
      <c r="F55" s="24" t="s">
        <v>474</v>
      </c>
      <c r="G55" s="25"/>
      <c r="H55" s="24" t="s">
        <v>570</v>
      </c>
      <c r="I55" s="24" t="s">
        <v>1228</v>
      </c>
      <c r="J55" s="24" t="s">
        <v>1066</v>
      </c>
      <c r="K55" s="26">
        <v>46291.0</v>
      </c>
      <c r="L55" s="25"/>
    </row>
    <row r="56" ht="19.5" customHeight="1">
      <c r="A56" s="24">
        <v>55.0</v>
      </c>
      <c r="B56" s="24" t="s">
        <v>1196</v>
      </c>
      <c r="C56" s="24" t="s">
        <v>528</v>
      </c>
      <c r="D56" s="24" t="s">
        <v>1229</v>
      </c>
      <c r="E56" s="24" t="s">
        <v>446</v>
      </c>
      <c r="F56" s="24" t="s">
        <v>474</v>
      </c>
      <c r="G56" s="25"/>
      <c r="H56" s="24" t="s">
        <v>911</v>
      </c>
      <c r="I56" s="24" t="s">
        <v>1230</v>
      </c>
      <c r="J56" s="24" t="s">
        <v>1066</v>
      </c>
      <c r="K56" s="26">
        <v>46291.0</v>
      </c>
      <c r="L56" s="25"/>
    </row>
    <row r="57" ht="19.5" customHeight="1">
      <c r="A57" s="24">
        <v>56.0</v>
      </c>
      <c r="B57" s="24" t="s">
        <v>1196</v>
      </c>
      <c r="C57" s="24" t="s">
        <v>528</v>
      </c>
      <c r="D57" s="24" t="s">
        <v>1231</v>
      </c>
      <c r="E57" s="24" t="s">
        <v>446</v>
      </c>
      <c r="F57" s="24" t="s">
        <v>483</v>
      </c>
      <c r="G57" s="25"/>
      <c r="H57" s="24" t="s">
        <v>911</v>
      </c>
      <c r="I57" s="24" t="s">
        <v>1232</v>
      </c>
      <c r="J57" s="24" t="s">
        <v>1066</v>
      </c>
      <c r="K57" s="26">
        <v>46291.0</v>
      </c>
      <c r="L57" s="25"/>
    </row>
    <row r="58" ht="19.5" customHeight="1">
      <c r="A58" s="24">
        <v>57.0</v>
      </c>
      <c r="B58" s="24" t="s">
        <v>1196</v>
      </c>
      <c r="C58" s="24" t="s">
        <v>528</v>
      </c>
      <c r="D58" s="24" t="s">
        <v>1233</v>
      </c>
      <c r="E58" s="24" t="s">
        <v>446</v>
      </c>
      <c r="F58" s="24" t="s">
        <v>483</v>
      </c>
      <c r="G58" s="25"/>
      <c r="H58" s="24" t="s">
        <v>911</v>
      </c>
      <c r="I58" s="24" t="s">
        <v>1234</v>
      </c>
      <c r="J58" s="24" t="s">
        <v>1066</v>
      </c>
      <c r="K58" s="26">
        <v>46291.0</v>
      </c>
      <c r="L58" s="25"/>
    </row>
    <row r="59" ht="15.75" customHeight="1">
      <c r="A59" s="24">
        <v>58.0</v>
      </c>
      <c r="B59" s="28" t="s">
        <v>1196</v>
      </c>
      <c r="C59" s="28" t="s">
        <v>528</v>
      </c>
      <c r="D59" s="28" t="s">
        <v>1235</v>
      </c>
      <c r="E59" s="28" t="s">
        <v>446</v>
      </c>
      <c r="F59" s="28" t="s">
        <v>483</v>
      </c>
      <c r="G59" s="29"/>
      <c r="H59" s="28" t="s">
        <v>911</v>
      </c>
      <c r="I59" s="28" t="s">
        <v>1236</v>
      </c>
      <c r="J59" s="24" t="s">
        <v>1066</v>
      </c>
      <c r="K59" s="30">
        <v>46291.0</v>
      </c>
      <c r="L59" s="31"/>
    </row>
    <row r="60" ht="15.75" customHeight="1">
      <c r="A60" s="24">
        <v>59.0</v>
      </c>
      <c r="B60" s="28" t="s">
        <v>1196</v>
      </c>
      <c r="C60" s="28" t="s">
        <v>528</v>
      </c>
      <c r="D60" s="28" t="s">
        <v>1237</v>
      </c>
      <c r="E60" s="28" t="s">
        <v>496</v>
      </c>
      <c r="F60" s="28" t="s">
        <v>539</v>
      </c>
      <c r="G60" s="32"/>
      <c r="H60" s="28" t="s">
        <v>570</v>
      </c>
      <c r="I60" s="28" t="s">
        <v>1238</v>
      </c>
      <c r="J60" s="24" t="s">
        <v>1066</v>
      </c>
      <c r="K60" s="30">
        <v>46291.0</v>
      </c>
      <c r="L60" s="31"/>
    </row>
    <row r="61" ht="15.75" customHeight="1">
      <c r="A61" s="24">
        <v>60.0</v>
      </c>
      <c r="B61" s="28" t="s">
        <v>1196</v>
      </c>
      <c r="C61" s="28" t="s">
        <v>528</v>
      </c>
      <c r="D61" s="28" t="s">
        <v>1239</v>
      </c>
      <c r="E61" s="28" t="s">
        <v>496</v>
      </c>
      <c r="F61" s="28" t="s">
        <v>498</v>
      </c>
      <c r="G61" s="29"/>
      <c r="H61" s="28" t="s">
        <v>911</v>
      </c>
      <c r="I61" s="28" t="s">
        <v>1240</v>
      </c>
      <c r="J61" s="24" t="s">
        <v>1066</v>
      </c>
      <c r="K61" s="30">
        <v>46291.0</v>
      </c>
      <c r="L61" s="31"/>
    </row>
    <row r="62" ht="15.75" customHeight="1">
      <c r="A62" s="24">
        <v>61.0</v>
      </c>
      <c r="B62" s="28" t="s">
        <v>1196</v>
      </c>
      <c r="C62" s="28" t="s">
        <v>528</v>
      </c>
      <c r="D62" s="28" t="s">
        <v>1241</v>
      </c>
      <c r="E62" s="28" t="s">
        <v>496</v>
      </c>
      <c r="F62" s="28" t="s">
        <v>556</v>
      </c>
      <c r="G62" s="29"/>
      <c r="H62" s="28" t="s">
        <v>570</v>
      </c>
      <c r="I62" s="28" t="s">
        <v>1242</v>
      </c>
      <c r="J62" s="24" t="s">
        <v>1066</v>
      </c>
      <c r="K62" s="30">
        <v>46291.0</v>
      </c>
      <c r="L62" s="31"/>
    </row>
    <row r="63" ht="15.75" customHeight="1">
      <c r="A63" s="24">
        <v>62.0</v>
      </c>
      <c r="B63" s="28" t="s">
        <v>1196</v>
      </c>
      <c r="C63" s="28" t="s">
        <v>528</v>
      </c>
      <c r="D63" s="28" t="s">
        <v>1243</v>
      </c>
      <c r="E63" s="28" t="s">
        <v>496</v>
      </c>
      <c r="F63" s="28" t="s">
        <v>523</v>
      </c>
      <c r="G63" s="29"/>
      <c r="H63" s="28" t="s">
        <v>570</v>
      </c>
      <c r="I63" s="28" t="s">
        <v>1244</v>
      </c>
      <c r="J63" s="24" t="s">
        <v>1066</v>
      </c>
      <c r="K63" s="30">
        <v>46291.0</v>
      </c>
      <c r="L63" s="31"/>
    </row>
    <row r="64" ht="15.75" customHeight="1">
      <c r="A64" s="24">
        <v>63.0</v>
      </c>
      <c r="B64" s="28" t="s">
        <v>1196</v>
      </c>
      <c r="C64" s="28" t="s">
        <v>528</v>
      </c>
      <c r="D64" s="28" t="s">
        <v>1175</v>
      </c>
      <c r="E64" s="28" t="s">
        <v>581</v>
      </c>
      <c r="F64" s="28" t="s">
        <v>609</v>
      </c>
      <c r="G64" s="29"/>
      <c r="H64" s="28" t="s">
        <v>570</v>
      </c>
      <c r="I64" s="28" t="s">
        <v>1245</v>
      </c>
      <c r="J64" s="24" t="s">
        <v>1066</v>
      </c>
      <c r="K64" s="30">
        <v>46291.0</v>
      </c>
      <c r="L64" s="31"/>
    </row>
    <row r="65" ht="15.75" customHeight="1">
      <c r="A65" s="24">
        <v>64.0</v>
      </c>
      <c r="B65" s="28" t="s">
        <v>1196</v>
      </c>
      <c r="C65" s="28" t="s">
        <v>528</v>
      </c>
      <c r="D65" s="28" t="s">
        <v>1246</v>
      </c>
      <c r="E65" s="28" t="s">
        <v>408</v>
      </c>
      <c r="F65" s="28" t="s">
        <v>409</v>
      </c>
      <c r="G65" s="29"/>
      <c r="H65" s="28" t="s">
        <v>570</v>
      </c>
      <c r="I65" s="28" t="s">
        <v>1247</v>
      </c>
      <c r="J65" s="24" t="s">
        <v>1066</v>
      </c>
      <c r="K65" s="30">
        <v>46291.0</v>
      </c>
      <c r="L65" s="31"/>
    </row>
    <row r="66" ht="15.75" customHeight="1">
      <c r="A66" s="24">
        <v>65.0</v>
      </c>
      <c r="B66" s="28" t="s">
        <v>1196</v>
      </c>
      <c r="C66" s="28" t="s">
        <v>528</v>
      </c>
      <c r="D66" s="28" t="s">
        <v>1248</v>
      </c>
      <c r="E66" s="28" t="s">
        <v>183</v>
      </c>
      <c r="F66" s="28" t="s">
        <v>216</v>
      </c>
      <c r="G66" s="29"/>
      <c r="H66" s="28" t="s">
        <v>570</v>
      </c>
      <c r="I66" s="28" t="s">
        <v>1249</v>
      </c>
      <c r="J66" s="24" t="s">
        <v>1066</v>
      </c>
      <c r="K66" s="30">
        <v>46291.0</v>
      </c>
      <c r="L66" s="31"/>
    </row>
    <row r="67" ht="15.75" customHeight="1">
      <c r="A67" s="24">
        <v>66.0</v>
      </c>
      <c r="B67" s="28" t="s">
        <v>1196</v>
      </c>
      <c r="C67" s="28" t="s">
        <v>528</v>
      </c>
      <c r="D67" s="28" t="s">
        <v>1250</v>
      </c>
      <c r="E67" s="28" t="s">
        <v>581</v>
      </c>
      <c r="F67" s="28" t="s">
        <v>609</v>
      </c>
      <c r="G67" s="29"/>
      <c r="H67" s="28" t="s">
        <v>911</v>
      </c>
      <c r="I67" s="28" t="s">
        <v>1251</v>
      </c>
      <c r="J67" s="24" t="s">
        <v>1066</v>
      </c>
      <c r="K67" s="30">
        <v>46291.0</v>
      </c>
      <c r="L67" s="31"/>
    </row>
    <row r="68" ht="15.75" customHeight="1">
      <c r="A68" s="24">
        <v>67.0</v>
      </c>
      <c r="B68" s="28" t="s">
        <v>1196</v>
      </c>
      <c r="C68" s="28" t="s">
        <v>528</v>
      </c>
      <c r="D68" s="28" t="s">
        <v>1252</v>
      </c>
      <c r="E68" s="28" t="s">
        <v>581</v>
      </c>
      <c r="F68" s="28" t="s">
        <v>609</v>
      </c>
      <c r="G68" s="29"/>
      <c r="H68" s="28" t="s">
        <v>911</v>
      </c>
      <c r="I68" s="28" t="s">
        <v>1253</v>
      </c>
      <c r="J68" s="24" t="s">
        <v>1066</v>
      </c>
      <c r="K68" s="30">
        <v>46291.0</v>
      </c>
      <c r="L68" s="31"/>
    </row>
    <row r="69" ht="15.75" customHeight="1">
      <c r="A69" s="24">
        <v>68.0</v>
      </c>
      <c r="B69" s="28" t="s">
        <v>1196</v>
      </c>
      <c r="C69" s="28" t="s">
        <v>528</v>
      </c>
      <c r="D69" s="28" t="s">
        <v>1254</v>
      </c>
      <c r="E69" s="28" t="s">
        <v>581</v>
      </c>
      <c r="F69" s="28" t="s">
        <v>583</v>
      </c>
      <c r="G69" s="29"/>
      <c r="H69" s="28" t="s">
        <v>570</v>
      </c>
      <c r="I69" s="28" t="s">
        <v>1255</v>
      </c>
      <c r="J69" s="24" t="s">
        <v>1066</v>
      </c>
      <c r="K69" s="30">
        <v>46291.0</v>
      </c>
      <c r="L69" s="31"/>
    </row>
    <row r="70" ht="15.75" customHeight="1">
      <c r="A70" s="24">
        <v>69.0</v>
      </c>
      <c r="B70" s="28" t="s">
        <v>1196</v>
      </c>
      <c r="C70" s="28" t="s">
        <v>528</v>
      </c>
      <c r="D70" s="28" t="s">
        <v>1256</v>
      </c>
      <c r="E70" s="28" t="s">
        <v>581</v>
      </c>
      <c r="F70" s="28" t="s">
        <v>597</v>
      </c>
      <c r="G70" s="29"/>
      <c r="H70" s="28" t="s">
        <v>570</v>
      </c>
      <c r="I70" s="28" t="s">
        <v>1257</v>
      </c>
      <c r="J70" s="24" t="s">
        <v>1066</v>
      </c>
      <c r="K70" s="30">
        <v>46291.0</v>
      </c>
      <c r="L70" s="31"/>
    </row>
    <row r="71" ht="15.75" customHeight="1">
      <c r="A71" s="24">
        <v>70.0</v>
      </c>
      <c r="B71" s="28" t="s">
        <v>1196</v>
      </c>
      <c r="C71" s="28" t="s">
        <v>528</v>
      </c>
      <c r="D71" s="28" t="s">
        <v>1258</v>
      </c>
      <c r="E71" s="28" t="s">
        <v>581</v>
      </c>
      <c r="F71" s="28" t="s">
        <v>666</v>
      </c>
      <c r="G71" s="29"/>
      <c r="H71" s="28" t="s">
        <v>570</v>
      </c>
      <c r="I71" s="28" t="s">
        <v>1259</v>
      </c>
      <c r="J71" s="24" t="s">
        <v>1066</v>
      </c>
      <c r="K71" s="30">
        <v>46291.0</v>
      </c>
      <c r="L71" s="31"/>
    </row>
    <row r="72" ht="15.75" customHeight="1">
      <c r="A72" s="24">
        <v>71.0</v>
      </c>
      <c r="B72" s="28" t="s">
        <v>1196</v>
      </c>
      <c r="C72" s="28" t="s">
        <v>528</v>
      </c>
      <c r="D72" s="28" t="s">
        <v>1260</v>
      </c>
      <c r="E72" s="28" t="s">
        <v>408</v>
      </c>
      <c r="F72" s="28" t="s">
        <v>429</v>
      </c>
      <c r="G72" s="29"/>
      <c r="H72" s="28" t="s">
        <v>570</v>
      </c>
      <c r="I72" s="28" t="s">
        <v>1261</v>
      </c>
      <c r="J72" s="24" t="s">
        <v>1066</v>
      </c>
      <c r="K72" s="30">
        <v>46291.0</v>
      </c>
      <c r="L72" s="31"/>
    </row>
    <row r="73" ht="15.75" customHeight="1">
      <c r="A73" s="24">
        <v>72.0</v>
      </c>
      <c r="B73" s="28" t="s">
        <v>1196</v>
      </c>
      <c r="C73" s="28" t="s">
        <v>528</v>
      </c>
      <c r="D73" s="28" t="s">
        <v>1262</v>
      </c>
      <c r="E73" s="28" t="s">
        <v>408</v>
      </c>
      <c r="F73" s="28" t="s">
        <v>429</v>
      </c>
      <c r="G73" s="29"/>
      <c r="H73" s="28" t="s">
        <v>570</v>
      </c>
      <c r="I73" s="28" t="s">
        <v>1263</v>
      </c>
      <c r="J73" s="24" t="s">
        <v>1066</v>
      </c>
      <c r="K73" s="30">
        <v>46291.0</v>
      </c>
      <c r="L73" s="31"/>
    </row>
    <row r="74" ht="15.75" customHeight="1">
      <c r="A74" s="24">
        <v>73.0</v>
      </c>
      <c r="B74" s="28" t="s">
        <v>1196</v>
      </c>
      <c r="C74" s="28" t="s">
        <v>528</v>
      </c>
      <c r="D74" s="28" t="s">
        <v>1264</v>
      </c>
      <c r="E74" s="28" t="s">
        <v>408</v>
      </c>
      <c r="F74" s="28" t="s">
        <v>429</v>
      </c>
      <c r="G74" s="29"/>
      <c r="H74" s="28" t="s">
        <v>570</v>
      </c>
      <c r="I74" s="28" t="s">
        <v>1265</v>
      </c>
      <c r="J74" s="24" t="s">
        <v>1066</v>
      </c>
      <c r="K74" s="30">
        <v>46291.0</v>
      </c>
      <c r="L74" s="31"/>
    </row>
    <row r="75" ht="15.75" customHeight="1">
      <c r="A75" s="24">
        <v>74.0</v>
      </c>
      <c r="B75" s="28" t="s">
        <v>1196</v>
      </c>
      <c r="C75" s="28" t="s">
        <v>528</v>
      </c>
      <c r="D75" s="28" t="s">
        <v>1266</v>
      </c>
      <c r="E75" s="28" t="s">
        <v>408</v>
      </c>
      <c r="F75" s="28" t="s">
        <v>429</v>
      </c>
      <c r="G75" s="29"/>
      <c r="H75" s="28" t="s">
        <v>570</v>
      </c>
      <c r="I75" s="28" t="s">
        <v>1267</v>
      </c>
      <c r="J75" s="24" t="s">
        <v>1066</v>
      </c>
      <c r="K75" s="30">
        <v>46291.0</v>
      </c>
      <c r="L75" s="31"/>
    </row>
    <row r="76" ht="15.75" customHeight="1">
      <c r="A76" s="24">
        <v>75.0</v>
      </c>
      <c r="B76" s="28" t="s">
        <v>1196</v>
      </c>
      <c r="C76" s="28" t="s">
        <v>528</v>
      </c>
      <c r="D76" s="28" t="s">
        <v>1268</v>
      </c>
      <c r="E76" s="28" t="s">
        <v>408</v>
      </c>
      <c r="F76" s="28" t="s">
        <v>429</v>
      </c>
      <c r="G76" s="29"/>
      <c r="H76" s="28" t="s">
        <v>570</v>
      </c>
      <c r="I76" s="28" t="s">
        <v>1269</v>
      </c>
      <c r="J76" s="24" t="s">
        <v>1066</v>
      </c>
      <c r="K76" s="30">
        <v>46291.0</v>
      </c>
      <c r="L76" s="31"/>
    </row>
    <row r="77" ht="15.75" customHeight="1">
      <c r="A77" s="24">
        <v>76.0</v>
      </c>
      <c r="B77" s="28" t="s">
        <v>1196</v>
      </c>
      <c r="C77" s="28" t="s">
        <v>528</v>
      </c>
      <c r="D77" s="28" t="s">
        <v>1270</v>
      </c>
      <c r="E77" s="28" t="s">
        <v>408</v>
      </c>
      <c r="F77" s="28" t="s">
        <v>436</v>
      </c>
      <c r="G77" s="29"/>
      <c r="H77" s="28" t="s">
        <v>570</v>
      </c>
      <c r="I77" s="28" t="s">
        <v>1271</v>
      </c>
      <c r="J77" s="24" t="s">
        <v>1066</v>
      </c>
      <c r="K77" s="30">
        <v>46291.0</v>
      </c>
      <c r="L77" s="31"/>
    </row>
    <row r="78" ht="15.75" customHeight="1">
      <c r="A78" s="24">
        <v>77.0</v>
      </c>
      <c r="B78" s="28" t="s">
        <v>1196</v>
      </c>
      <c r="C78" s="28" t="s">
        <v>528</v>
      </c>
      <c r="D78" s="28" t="s">
        <v>1272</v>
      </c>
      <c r="E78" s="28" t="s">
        <v>581</v>
      </c>
      <c r="F78" s="28" t="s">
        <v>597</v>
      </c>
      <c r="G78" s="29"/>
      <c r="H78" s="28" t="s">
        <v>570</v>
      </c>
      <c r="I78" s="28" t="s">
        <v>1273</v>
      </c>
      <c r="J78" s="24" t="s">
        <v>1066</v>
      </c>
      <c r="K78" s="30">
        <v>46291.0</v>
      </c>
      <c r="L78" s="31"/>
    </row>
    <row r="79" ht="15.75" customHeight="1">
      <c r="A79" s="24">
        <v>78.0</v>
      </c>
      <c r="B79" s="28" t="s">
        <v>1196</v>
      </c>
      <c r="C79" s="28" t="s">
        <v>528</v>
      </c>
      <c r="D79" s="28" t="s">
        <v>1274</v>
      </c>
      <c r="E79" s="28" t="s">
        <v>236</v>
      </c>
      <c r="F79" s="28" t="s">
        <v>273</v>
      </c>
      <c r="G79" s="29"/>
      <c r="H79" s="28" t="s">
        <v>570</v>
      </c>
      <c r="I79" s="28" t="s">
        <v>1275</v>
      </c>
      <c r="J79" s="24" t="s">
        <v>1066</v>
      </c>
      <c r="K79" s="30">
        <v>46291.0</v>
      </c>
      <c r="L79" s="31"/>
    </row>
    <row r="80" ht="15.75" customHeight="1">
      <c r="A80" s="24">
        <v>79.0</v>
      </c>
      <c r="B80" s="28" t="s">
        <v>1196</v>
      </c>
      <c r="C80" s="28" t="s">
        <v>528</v>
      </c>
      <c r="D80" s="28" t="s">
        <v>1276</v>
      </c>
      <c r="E80" s="28" t="s">
        <v>446</v>
      </c>
      <c r="F80" s="28" t="s">
        <v>456</v>
      </c>
      <c r="G80" s="29"/>
      <c r="H80" s="28" t="s">
        <v>570</v>
      </c>
      <c r="I80" s="28" t="s">
        <v>1277</v>
      </c>
      <c r="J80" s="24" t="s">
        <v>1066</v>
      </c>
      <c r="K80" s="30">
        <v>46291.0</v>
      </c>
      <c r="L80" s="31"/>
    </row>
    <row r="81" ht="15.75" customHeight="1">
      <c r="A81" s="24">
        <v>80.0</v>
      </c>
      <c r="B81" s="28" t="s">
        <v>1196</v>
      </c>
      <c r="C81" s="28" t="s">
        <v>528</v>
      </c>
      <c r="D81" s="28" t="s">
        <v>1278</v>
      </c>
      <c r="E81" s="28" t="s">
        <v>581</v>
      </c>
      <c r="F81" s="28" t="s">
        <v>666</v>
      </c>
      <c r="G81" s="29"/>
      <c r="H81" s="28" t="s">
        <v>570</v>
      </c>
      <c r="I81" s="28" t="s">
        <v>1279</v>
      </c>
      <c r="J81" s="24" t="s">
        <v>1066</v>
      </c>
      <c r="K81" s="30">
        <v>46291.0</v>
      </c>
      <c r="L81" s="31"/>
    </row>
    <row r="82" ht="15.75" customHeight="1">
      <c r="A82" s="24">
        <v>81.0</v>
      </c>
      <c r="B82" s="28" t="s">
        <v>1196</v>
      </c>
      <c r="C82" s="28" t="s">
        <v>528</v>
      </c>
      <c r="D82" s="28" t="s">
        <v>1280</v>
      </c>
      <c r="E82" s="28" t="s">
        <v>446</v>
      </c>
      <c r="F82" s="28" t="s">
        <v>474</v>
      </c>
      <c r="G82" s="29"/>
      <c r="H82" s="28" t="s">
        <v>570</v>
      </c>
      <c r="I82" s="28" t="s">
        <v>1281</v>
      </c>
      <c r="J82" s="24" t="s">
        <v>1066</v>
      </c>
      <c r="K82" s="30">
        <v>46291.0</v>
      </c>
      <c r="L82" s="31"/>
    </row>
    <row r="83" ht="15.75" customHeight="1">
      <c r="A83" s="24">
        <v>82.0</v>
      </c>
      <c r="B83" s="28" t="s">
        <v>1282</v>
      </c>
      <c r="C83" s="28" t="s">
        <v>528</v>
      </c>
      <c r="D83" s="28" t="s">
        <v>1064</v>
      </c>
      <c r="E83" s="28" t="s">
        <v>62</v>
      </c>
      <c r="F83" s="28" t="s">
        <v>65</v>
      </c>
      <c r="G83" s="29"/>
      <c r="H83" s="28" t="s">
        <v>570</v>
      </c>
      <c r="I83" s="28" t="s">
        <v>1283</v>
      </c>
      <c r="J83" s="24" t="s">
        <v>1066</v>
      </c>
      <c r="K83" s="30">
        <v>46291.0</v>
      </c>
      <c r="L83" s="31"/>
    </row>
    <row r="84" ht="15.75" customHeight="1">
      <c r="A84" s="24">
        <v>83.0</v>
      </c>
      <c r="B84" s="28" t="s">
        <v>1282</v>
      </c>
      <c r="C84" s="28" t="s">
        <v>528</v>
      </c>
      <c r="D84" s="28" t="s">
        <v>1064</v>
      </c>
      <c r="E84" s="28" t="s">
        <v>62</v>
      </c>
      <c r="F84" s="28" t="s">
        <v>129</v>
      </c>
      <c r="G84" s="29"/>
      <c r="H84" s="28" t="s">
        <v>570</v>
      </c>
      <c r="I84" s="28" t="s">
        <v>1284</v>
      </c>
      <c r="J84" s="24" t="s">
        <v>1066</v>
      </c>
      <c r="K84" s="30">
        <v>46291.0</v>
      </c>
      <c r="L84" s="31"/>
    </row>
    <row r="85" ht="15.75" customHeight="1">
      <c r="A85" s="24">
        <v>84.0</v>
      </c>
      <c r="B85" s="28" t="s">
        <v>1282</v>
      </c>
      <c r="C85" s="28" t="s">
        <v>528</v>
      </c>
      <c r="D85" s="28" t="s">
        <v>1285</v>
      </c>
      <c r="E85" s="28" t="s">
        <v>581</v>
      </c>
      <c r="F85" s="28" t="s">
        <v>609</v>
      </c>
      <c r="G85" s="29"/>
      <c r="H85" s="28" t="s">
        <v>570</v>
      </c>
      <c r="I85" s="28" t="s">
        <v>1286</v>
      </c>
      <c r="J85" s="24" t="s">
        <v>1066</v>
      </c>
      <c r="K85" s="30">
        <v>46291.0</v>
      </c>
      <c r="L85" s="31"/>
    </row>
    <row r="86" ht="15.75" customHeight="1">
      <c r="A86" s="24">
        <v>85.0</v>
      </c>
      <c r="B86" s="28" t="s">
        <v>1282</v>
      </c>
      <c r="C86" s="28" t="s">
        <v>528</v>
      </c>
      <c r="D86" s="28" t="s">
        <v>1086</v>
      </c>
      <c r="E86" s="28" t="s">
        <v>581</v>
      </c>
      <c r="F86" s="28" t="s">
        <v>609</v>
      </c>
      <c r="G86" s="29"/>
      <c r="H86" s="28" t="s">
        <v>570</v>
      </c>
      <c r="I86" s="28" t="s">
        <v>1287</v>
      </c>
      <c r="J86" s="24" t="s">
        <v>1066</v>
      </c>
      <c r="K86" s="30">
        <v>46291.0</v>
      </c>
      <c r="L86" s="31"/>
    </row>
    <row r="87" ht="15.75" customHeight="1">
      <c r="A87" s="24">
        <v>86.0</v>
      </c>
      <c r="B87" s="28" t="s">
        <v>1282</v>
      </c>
      <c r="C87" s="28" t="s">
        <v>528</v>
      </c>
      <c r="D87" s="28" t="s">
        <v>1288</v>
      </c>
      <c r="E87" s="28" t="s">
        <v>183</v>
      </c>
      <c r="F87" s="28" t="s">
        <v>216</v>
      </c>
      <c r="G87" s="29"/>
      <c r="H87" s="28" t="s">
        <v>570</v>
      </c>
      <c r="I87" s="28" t="s">
        <v>1289</v>
      </c>
      <c r="J87" s="24" t="s">
        <v>1066</v>
      </c>
      <c r="K87" s="30">
        <v>46291.0</v>
      </c>
      <c r="L87" s="31"/>
    </row>
    <row r="88" ht="15.75" customHeight="1">
      <c r="A88" s="24">
        <v>87.0</v>
      </c>
      <c r="B88" s="28" t="s">
        <v>1282</v>
      </c>
      <c r="C88" s="28" t="s">
        <v>528</v>
      </c>
      <c r="D88" s="28" t="s">
        <v>1290</v>
      </c>
      <c r="E88" s="28" t="s">
        <v>408</v>
      </c>
      <c r="F88" s="28" t="s">
        <v>409</v>
      </c>
      <c r="G88" s="29"/>
      <c r="H88" s="28" t="s">
        <v>570</v>
      </c>
      <c r="I88" s="28" t="s">
        <v>1291</v>
      </c>
      <c r="J88" s="24" t="s">
        <v>1066</v>
      </c>
      <c r="K88" s="30">
        <v>46291.0</v>
      </c>
      <c r="L88" s="31"/>
    </row>
    <row r="89" ht="15.75" customHeight="1">
      <c r="A89" s="24">
        <v>88.0</v>
      </c>
      <c r="B89" s="28" t="s">
        <v>1282</v>
      </c>
      <c r="C89" s="28" t="s">
        <v>528</v>
      </c>
      <c r="D89" s="28" t="s">
        <v>1205</v>
      </c>
      <c r="E89" s="28" t="s">
        <v>408</v>
      </c>
      <c r="F89" s="28" t="s">
        <v>409</v>
      </c>
      <c r="G89" s="29"/>
      <c r="H89" s="28" t="s">
        <v>570</v>
      </c>
      <c r="I89" s="28" t="s">
        <v>1292</v>
      </c>
      <c r="J89" s="24" t="s">
        <v>1066</v>
      </c>
      <c r="K89" s="30">
        <v>46291.0</v>
      </c>
      <c r="L89" s="31"/>
    </row>
    <row r="90" ht="15.75" customHeight="1">
      <c r="A90" s="24">
        <v>89.0</v>
      </c>
      <c r="B90" s="28" t="s">
        <v>1282</v>
      </c>
      <c r="C90" s="28" t="s">
        <v>528</v>
      </c>
      <c r="D90" s="28" t="s">
        <v>1293</v>
      </c>
      <c r="E90" s="28" t="s">
        <v>581</v>
      </c>
      <c r="F90" s="28" t="s">
        <v>625</v>
      </c>
      <c r="H90" s="28" t="s">
        <v>570</v>
      </c>
      <c r="I90" s="28" t="s">
        <v>1294</v>
      </c>
      <c r="J90" s="24" t="s">
        <v>1066</v>
      </c>
      <c r="K90" s="30">
        <v>46291.0</v>
      </c>
      <c r="L90" s="31"/>
    </row>
    <row r="91" ht="15.75" customHeight="1">
      <c r="A91" s="24">
        <v>90.0</v>
      </c>
      <c r="B91" s="28" t="s">
        <v>1282</v>
      </c>
      <c r="C91" s="28" t="s">
        <v>528</v>
      </c>
      <c r="D91" s="28" t="s">
        <v>1295</v>
      </c>
      <c r="E91" s="28" t="s">
        <v>62</v>
      </c>
      <c r="F91" s="28" t="s">
        <v>154</v>
      </c>
      <c r="G91" s="29"/>
      <c r="H91" s="28" t="s">
        <v>570</v>
      </c>
      <c r="I91" s="28" t="s">
        <v>911</v>
      </c>
      <c r="J91" s="24" t="s">
        <v>1066</v>
      </c>
      <c r="K91" s="30">
        <v>46291.0</v>
      </c>
      <c r="L91" s="31"/>
    </row>
    <row r="92" ht="15.75" customHeight="1">
      <c r="A92" s="24">
        <v>91.0</v>
      </c>
      <c r="B92" s="28" t="s">
        <v>1282</v>
      </c>
      <c r="C92" s="28" t="s">
        <v>528</v>
      </c>
      <c r="D92" s="28" t="s">
        <v>1296</v>
      </c>
      <c r="E92" s="28" t="s">
        <v>581</v>
      </c>
      <c r="F92" s="28" t="s">
        <v>597</v>
      </c>
      <c r="G92" s="29"/>
      <c r="H92" s="28" t="s">
        <v>570</v>
      </c>
      <c r="I92" s="28" t="s">
        <v>1297</v>
      </c>
      <c r="J92" s="24" t="s">
        <v>1066</v>
      </c>
      <c r="K92" s="30">
        <v>46291.0</v>
      </c>
      <c r="L92" s="31"/>
    </row>
    <row r="93" ht="15.75" customHeight="1">
      <c r="A93" s="24">
        <v>92.0</v>
      </c>
      <c r="B93" s="28" t="s">
        <v>1282</v>
      </c>
      <c r="C93" s="28" t="s">
        <v>528</v>
      </c>
      <c r="D93" s="28" t="s">
        <v>1298</v>
      </c>
      <c r="E93" s="28" t="s">
        <v>446</v>
      </c>
      <c r="F93" s="28" t="s">
        <v>447</v>
      </c>
      <c r="G93" s="29"/>
      <c r="H93" s="28" t="s">
        <v>911</v>
      </c>
      <c r="I93" s="28" t="s">
        <v>1299</v>
      </c>
      <c r="J93" s="24" t="s">
        <v>1066</v>
      </c>
      <c r="K93" s="30">
        <v>46291.0</v>
      </c>
      <c r="L93" s="31"/>
    </row>
    <row r="94" ht="15.75" customHeight="1">
      <c r="A94" s="24">
        <v>93.0</v>
      </c>
      <c r="B94" s="28" t="s">
        <v>1282</v>
      </c>
      <c r="C94" s="28" t="s">
        <v>528</v>
      </c>
      <c r="D94" s="28" t="s">
        <v>1301</v>
      </c>
      <c r="E94" s="28" t="s">
        <v>446</v>
      </c>
      <c r="F94" s="28" t="s">
        <v>447</v>
      </c>
      <c r="G94" s="29"/>
      <c r="H94" s="28" t="s">
        <v>911</v>
      </c>
      <c r="I94" s="28" t="s">
        <v>1302</v>
      </c>
      <c r="J94" s="24" t="s">
        <v>1066</v>
      </c>
      <c r="K94" s="30">
        <v>46291.0</v>
      </c>
      <c r="L94" s="31"/>
    </row>
    <row r="95" ht="15.75" customHeight="1">
      <c r="A95" s="24">
        <v>94.0</v>
      </c>
      <c r="B95" s="28" t="s">
        <v>1282</v>
      </c>
      <c r="C95" s="28" t="s">
        <v>528</v>
      </c>
      <c r="D95" s="28" t="s">
        <v>1217</v>
      </c>
      <c r="E95" s="28" t="s">
        <v>446</v>
      </c>
      <c r="F95" s="28" t="s">
        <v>447</v>
      </c>
      <c r="G95" s="29"/>
      <c r="H95" s="28" t="s">
        <v>911</v>
      </c>
      <c r="I95" s="28" t="s">
        <v>1303</v>
      </c>
      <c r="J95" s="24" t="s">
        <v>1066</v>
      </c>
      <c r="K95" s="30">
        <v>46291.0</v>
      </c>
      <c r="L95" s="31"/>
    </row>
    <row r="96" ht="15.75" customHeight="1">
      <c r="A96" s="24">
        <v>95.0</v>
      </c>
      <c r="B96" s="28" t="s">
        <v>1282</v>
      </c>
      <c r="C96" s="28" t="s">
        <v>528</v>
      </c>
      <c r="D96" s="28" t="s">
        <v>1304</v>
      </c>
      <c r="E96" s="28" t="s">
        <v>446</v>
      </c>
      <c r="F96" s="28" t="s">
        <v>447</v>
      </c>
      <c r="G96" s="29"/>
      <c r="H96" s="28" t="s">
        <v>911</v>
      </c>
      <c r="I96" s="28" t="s">
        <v>1305</v>
      </c>
      <c r="J96" s="24" t="s">
        <v>1066</v>
      </c>
      <c r="K96" s="30">
        <v>46291.0</v>
      </c>
      <c r="L96" s="31"/>
    </row>
    <row r="97" ht="15.75" customHeight="1">
      <c r="A97" s="24">
        <v>96.0</v>
      </c>
      <c r="B97" s="28" t="s">
        <v>1282</v>
      </c>
      <c r="C97" s="28" t="s">
        <v>528</v>
      </c>
      <c r="D97" s="28" t="s">
        <v>1306</v>
      </c>
      <c r="E97" s="28" t="s">
        <v>446</v>
      </c>
      <c r="F97" s="28" t="s">
        <v>447</v>
      </c>
      <c r="G97" s="29"/>
      <c r="H97" s="28" t="s">
        <v>911</v>
      </c>
      <c r="I97" s="28" t="s">
        <v>1307</v>
      </c>
      <c r="J97" s="24" t="s">
        <v>1066</v>
      </c>
      <c r="K97" s="30">
        <v>46291.0</v>
      </c>
      <c r="L97" s="31"/>
    </row>
    <row r="98" ht="15.75" customHeight="1">
      <c r="A98" s="24">
        <v>97.0</v>
      </c>
      <c r="B98" s="28" t="s">
        <v>1282</v>
      </c>
      <c r="C98" s="28" t="s">
        <v>528</v>
      </c>
      <c r="D98" s="28" t="s">
        <v>1308</v>
      </c>
      <c r="E98" s="28" t="s">
        <v>446</v>
      </c>
      <c r="F98" s="28" t="s">
        <v>456</v>
      </c>
      <c r="G98" s="29"/>
      <c r="H98" s="28" t="s">
        <v>911</v>
      </c>
      <c r="I98" s="28" t="s">
        <v>1309</v>
      </c>
      <c r="J98" s="24" t="s">
        <v>1066</v>
      </c>
      <c r="K98" s="30">
        <v>46291.0</v>
      </c>
      <c r="L98" s="31"/>
    </row>
    <row r="99" ht="15.75" customHeight="1">
      <c r="A99" s="24">
        <v>98.0</v>
      </c>
      <c r="B99" s="28" t="s">
        <v>1282</v>
      </c>
      <c r="C99" s="28" t="s">
        <v>528</v>
      </c>
      <c r="D99" s="28" t="s">
        <v>1310</v>
      </c>
      <c r="E99" s="28" t="s">
        <v>446</v>
      </c>
      <c r="F99" s="28" t="s">
        <v>474</v>
      </c>
      <c r="G99" s="29"/>
      <c r="H99" s="28" t="s">
        <v>911</v>
      </c>
      <c r="I99" s="28" t="s">
        <v>1311</v>
      </c>
      <c r="J99" s="24" t="s">
        <v>1066</v>
      </c>
      <c r="K99" s="30">
        <v>46291.0</v>
      </c>
      <c r="L99" s="31"/>
    </row>
    <row r="100" ht="15.75" customHeight="1">
      <c r="A100" s="24">
        <v>99.0</v>
      </c>
      <c r="B100" s="28" t="s">
        <v>1282</v>
      </c>
      <c r="C100" s="28" t="s">
        <v>528</v>
      </c>
      <c r="D100" s="28" t="s">
        <v>1312</v>
      </c>
      <c r="E100" s="28" t="s">
        <v>581</v>
      </c>
      <c r="F100" s="28" t="s">
        <v>597</v>
      </c>
      <c r="G100" s="29"/>
      <c r="H100" s="28" t="s">
        <v>570</v>
      </c>
      <c r="I100" s="28" t="s">
        <v>1313</v>
      </c>
      <c r="J100" s="24" t="s">
        <v>1066</v>
      </c>
      <c r="K100" s="30">
        <v>46291.0</v>
      </c>
      <c r="L100" s="31"/>
    </row>
    <row r="101" ht="15.75" customHeight="1">
      <c r="A101" s="24">
        <v>100.0</v>
      </c>
      <c r="B101" s="28" t="s">
        <v>1282</v>
      </c>
      <c r="C101" s="28" t="s">
        <v>528</v>
      </c>
      <c r="D101" s="28" t="s">
        <v>1314</v>
      </c>
      <c r="E101" s="28" t="s">
        <v>446</v>
      </c>
      <c r="F101" s="28" t="s">
        <v>447</v>
      </c>
      <c r="G101" s="29"/>
      <c r="H101" s="28" t="s">
        <v>911</v>
      </c>
      <c r="I101" s="28" t="s">
        <v>1315</v>
      </c>
      <c r="J101" s="24" t="s">
        <v>1066</v>
      </c>
      <c r="K101" s="30">
        <v>46291.0</v>
      </c>
      <c r="L101" s="31"/>
    </row>
    <row r="102" ht="15.75" customHeight="1">
      <c r="A102" s="24">
        <v>101.0</v>
      </c>
      <c r="B102" s="28" t="s">
        <v>1282</v>
      </c>
      <c r="C102" s="28" t="s">
        <v>528</v>
      </c>
      <c r="D102" s="28" t="s">
        <v>1316</v>
      </c>
      <c r="E102" s="28" t="s">
        <v>496</v>
      </c>
      <c r="F102" s="28" t="s">
        <v>556</v>
      </c>
      <c r="G102" s="29"/>
      <c r="H102" s="28" t="s">
        <v>911</v>
      </c>
      <c r="I102" s="28" t="s">
        <v>1317</v>
      </c>
      <c r="J102" s="24" t="s">
        <v>1066</v>
      </c>
      <c r="K102" s="30">
        <v>46291.0</v>
      </c>
      <c r="L102" s="31"/>
    </row>
    <row r="103" ht="15.75" customHeight="1">
      <c r="A103" s="24">
        <v>102.0</v>
      </c>
      <c r="B103" s="28" t="s">
        <v>1282</v>
      </c>
      <c r="C103" s="28" t="s">
        <v>528</v>
      </c>
      <c r="D103" s="28" t="s">
        <v>1316</v>
      </c>
      <c r="E103" s="28" t="s">
        <v>496</v>
      </c>
      <c r="F103" s="28" t="s">
        <v>498</v>
      </c>
      <c r="G103" s="29"/>
      <c r="H103" s="28" t="s">
        <v>911</v>
      </c>
      <c r="I103" s="28" t="s">
        <v>1317</v>
      </c>
      <c r="J103" s="24" t="s">
        <v>1066</v>
      </c>
      <c r="K103" s="30">
        <v>46291.0</v>
      </c>
      <c r="L103" s="31"/>
    </row>
    <row r="104" ht="15.75" customHeight="1">
      <c r="A104" s="24">
        <v>103.0</v>
      </c>
      <c r="B104" s="28" t="s">
        <v>1282</v>
      </c>
      <c r="C104" s="28" t="s">
        <v>528</v>
      </c>
      <c r="D104" s="28" t="s">
        <v>1318</v>
      </c>
      <c r="E104" s="28" t="s">
        <v>183</v>
      </c>
      <c r="F104" s="28" t="s">
        <v>207</v>
      </c>
      <c r="G104" s="29"/>
      <c r="H104" s="28" t="s">
        <v>570</v>
      </c>
      <c r="I104" s="28" t="s">
        <v>1319</v>
      </c>
      <c r="J104" s="24" t="s">
        <v>1066</v>
      </c>
      <c r="K104" s="30">
        <v>46291.0</v>
      </c>
      <c r="L104" s="31"/>
    </row>
    <row r="105" ht="15.75" customHeight="1">
      <c r="A105" s="24">
        <v>104.0</v>
      </c>
      <c r="B105" s="28" t="s">
        <v>1282</v>
      </c>
      <c r="C105" s="28" t="s">
        <v>528</v>
      </c>
      <c r="D105" s="28" t="s">
        <v>1320</v>
      </c>
      <c r="E105" s="28" t="s">
        <v>581</v>
      </c>
      <c r="F105" s="28" t="s">
        <v>609</v>
      </c>
      <c r="G105" s="29"/>
      <c r="H105" s="28" t="s">
        <v>911</v>
      </c>
      <c r="I105" s="28" t="s">
        <v>1321</v>
      </c>
      <c r="J105" s="24" t="s">
        <v>1066</v>
      </c>
      <c r="K105" s="30">
        <v>46291.0</v>
      </c>
      <c r="L105" s="31"/>
    </row>
    <row r="106" ht="15.75" customHeight="1">
      <c r="A106" s="24">
        <v>105.0</v>
      </c>
      <c r="B106" s="28" t="s">
        <v>1282</v>
      </c>
      <c r="C106" s="28" t="s">
        <v>528</v>
      </c>
      <c r="D106" s="28" t="s">
        <v>1322</v>
      </c>
      <c r="E106" s="28" t="s">
        <v>236</v>
      </c>
      <c r="F106" s="28" t="s">
        <v>273</v>
      </c>
      <c r="G106" s="29"/>
      <c r="H106" s="28" t="s">
        <v>570</v>
      </c>
      <c r="I106" s="28" t="s">
        <v>1323</v>
      </c>
      <c r="J106" s="24" t="s">
        <v>1066</v>
      </c>
      <c r="K106" s="30">
        <v>46291.0</v>
      </c>
      <c r="L106" s="31"/>
    </row>
    <row r="107" ht="15.75" customHeight="1">
      <c r="A107" s="24">
        <v>106.0</v>
      </c>
      <c r="B107" s="28" t="s">
        <v>1282</v>
      </c>
      <c r="C107" s="28" t="s">
        <v>528</v>
      </c>
      <c r="D107" s="28" t="s">
        <v>1233</v>
      </c>
      <c r="E107" s="28" t="s">
        <v>581</v>
      </c>
      <c r="F107" s="28" t="s">
        <v>583</v>
      </c>
      <c r="G107" s="29"/>
      <c r="H107" s="28" t="s">
        <v>570</v>
      </c>
      <c r="I107" s="28" t="s">
        <v>1324</v>
      </c>
      <c r="J107" s="24" t="s">
        <v>1066</v>
      </c>
      <c r="K107" s="30">
        <v>46291.0</v>
      </c>
      <c r="L107" s="31"/>
    </row>
    <row r="108" ht="15.75" customHeight="1">
      <c r="A108" s="24">
        <v>107.0</v>
      </c>
      <c r="B108" s="28" t="s">
        <v>1282</v>
      </c>
      <c r="C108" s="28" t="s">
        <v>528</v>
      </c>
      <c r="D108" s="28" t="s">
        <v>1325</v>
      </c>
      <c r="E108" s="28" t="s">
        <v>581</v>
      </c>
      <c r="F108" s="28" t="s">
        <v>666</v>
      </c>
      <c r="G108" s="29"/>
      <c r="H108" s="28" t="s">
        <v>570</v>
      </c>
      <c r="I108" s="28" t="s">
        <v>1326</v>
      </c>
      <c r="J108" s="24" t="s">
        <v>1066</v>
      </c>
      <c r="K108" s="30">
        <v>46291.0</v>
      </c>
      <c r="L108" s="31"/>
    </row>
    <row r="109" ht="15.75" customHeight="1">
      <c r="A109" s="24">
        <v>108.0</v>
      </c>
      <c r="B109" s="28" t="s">
        <v>1282</v>
      </c>
      <c r="C109" s="28" t="s">
        <v>528</v>
      </c>
      <c r="D109" s="28" t="s">
        <v>1327</v>
      </c>
      <c r="E109" s="28" t="s">
        <v>581</v>
      </c>
      <c r="F109" s="28" t="s">
        <v>609</v>
      </c>
      <c r="G109" s="29"/>
      <c r="H109" s="28" t="s">
        <v>911</v>
      </c>
      <c r="I109" s="28" t="s">
        <v>1328</v>
      </c>
      <c r="J109" s="24" t="s">
        <v>1066</v>
      </c>
      <c r="K109" s="30">
        <v>46291.0</v>
      </c>
      <c r="L109" s="31"/>
    </row>
    <row r="110" ht="15.75" customHeight="1">
      <c r="A110" s="24">
        <v>109.0</v>
      </c>
      <c r="B110" s="28" t="s">
        <v>1282</v>
      </c>
      <c r="C110" s="28" t="s">
        <v>528</v>
      </c>
      <c r="D110" s="28" t="s">
        <v>1329</v>
      </c>
      <c r="E110" s="28" t="s">
        <v>581</v>
      </c>
      <c r="F110" s="28" t="s">
        <v>609</v>
      </c>
      <c r="G110" s="29"/>
      <c r="H110" s="28" t="s">
        <v>911</v>
      </c>
      <c r="I110" s="28" t="s">
        <v>1330</v>
      </c>
      <c r="J110" s="24" t="s">
        <v>1066</v>
      </c>
      <c r="K110" s="30">
        <v>46291.0</v>
      </c>
      <c r="L110" s="31"/>
    </row>
    <row r="111" ht="15.75" customHeight="1">
      <c r="A111" s="24">
        <v>110.0</v>
      </c>
      <c r="B111" s="28" t="s">
        <v>1282</v>
      </c>
      <c r="C111" s="28" t="s">
        <v>528</v>
      </c>
      <c r="D111" s="28" t="s">
        <v>1189</v>
      </c>
      <c r="E111" s="28" t="s">
        <v>581</v>
      </c>
      <c r="F111" s="28" t="s">
        <v>597</v>
      </c>
      <c r="G111" s="29"/>
      <c r="H111" s="28" t="s">
        <v>570</v>
      </c>
      <c r="I111" s="28" t="s">
        <v>1331</v>
      </c>
      <c r="J111" s="24" t="s">
        <v>1066</v>
      </c>
      <c r="K111" s="30">
        <v>46291.0</v>
      </c>
      <c r="L111" s="31"/>
    </row>
    <row r="112" ht="15.75" customHeight="1">
      <c r="A112" s="24">
        <v>111.0</v>
      </c>
      <c r="B112" s="28" t="s">
        <v>1282</v>
      </c>
      <c r="C112" s="28" t="s">
        <v>528</v>
      </c>
      <c r="D112" s="28" t="s">
        <v>1332</v>
      </c>
      <c r="E112" s="28" t="s">
        <v>446</v>
      </c>
      <c r="F112" s="28" t="s">
        <v>483</v>
      </c>
      <c r="G112" s="29"/>
      <c r="H112" s="28" t="s">
        <v>911</v>
      </c>
      <c r="I112" s="28" t="s">
        <v>1333</v>
      </c>
      <c r="J112" s="24" t="s">
        <v>1066</v>
      </c>
      <c r="K112" s="30">
        <v>46291.0</v>
      </c>
      <c r="L112" s="31"/>
    </row>
    <row r="113" ht="15.75" customHeight="1">
      <c r="A113" s="24">
        <v>112.0</v>
      </c>
      <c r="B113" s="28" t="s">
        <v>1282</v>
      </c>
      <c r="C113" s="28" t="s">
        <v>528</v>
      </c>
      <c r="D113" s="28" t="s">
        <v>1194</v>
      </c>
      <c r="E113" s="28" t="s">
        <v>581</v>
      </c>
      <c r="F113" s="28" t="s">
        <v>597</v>
      </c>
      <c r="G113" s="29"/>
      <c r="H113" s="28" t="s">
        <v>570</v>
      </c>
      <c r="I113" s="28" t="s">
        <v>1334</v>
      </c>
      <c r="J113" s="24" t="s">
        <v>1066</v>
      </c>
      <c r="K113" s="30">
        <v>46291.0</v>
      </c>
      <c r="L113" s="31"/>
    </row>
    <row r="114" ht="15.75" customHeight="1">
      <c r="A114" s="24">
        <v>113.0</v>
      </c>
      <c r="B114" s="28" t="s">
        <v>1282</v>
      </c>
      <c r="C114" s="28" t="s">
        <v>528</v>
      </c>
      <c r="D114" s="28" t="s">
        <v>1335</v>
      </c>
      <c r="E114" s="28" t="s">
        <v>408</v>
      </c>
      <c r="F114" s="28" t="s">
        <v>429</v>
      </c>
      <c r="G114" s="29"/>
      <c r="H114" s="28" t="s">
        <v>570</v>
      </c>
      <c r="I114" s="28" t="s">
        <v>1336</v>
      </c>
      <c r="J114" s="24" t="s">
        <v>1066</v>
      </c>
      <c r="K114" s="30">
        <v>46291.0</v>
      </c>
      <c r="L114" s="31"/>
    </row>
    <row r="115" ht="15.75" customHeight="1">
      <c r="A115" s="24">
        <v>114.0</v>
      </c>
      <c r="B115" s="28" t="s">
        <v>1282</v>
      </c>
      <c r="C115" s="28" t="s">
        <v>528</v>
      </c>
      <c r="D115" s="28" t="s">
        <v>1337</v>
      </c>
      <c r="E115" s="28" t="s">
        <v>581</v>
      </c>
      <c r="F115" s="28" t="s">
        <v>597</v>
      </c>
      <c r="G115" s="29"/>
      <c r="H115" s="28" t="s">
        <v>570</v>
      </c>
      <c r="I115" s="28" t="s">
        <v>1338</v>
      </c>
      <c r="J115" s="24" t="s">
        <v>1066</v>
      </c>
      <c r="K115" s="30">
        <v>46291.0</v>
      </c>
      <c r="L115" s="31"/>
    </row>
    <row r="116" ht="15.75" customHeight="1">
      <c r="A116" s="24">
        <v>115.0</v>
      </c>
      <c r="B116" s="28" t="s">
        <v>1282</v>
      </c>
      <c r="C116" s="28" t="s">
        <v>528</v>
      </c>
      <c r="D116" s="28" t="s">
        <v>1339</v>
      </c>
      <c r="E116" s="28" t="s">
        <v>581</v>
      </c>
      <c r="F116" s="28" t="s">
        <v>597</v>
      </c>
      <c r="G116" s="29"/>
      <c r="H116" s="28" t="s">
        <v>570</v>
      </c>
      <c r="I116" s="28" t="s">
        <v>1340</v>
      </c>
      <c r="J116" s="24" t="s">
        <v>1066</v>
      </c>
      <c r="K116" s="30">
        <v>46291.0</v>
      </c>
      <c r="L116" s="31"/>
    </row>
    <row r="117" ht="15.75" customHeight="1">
      <c r="A117" s="24">
        <v>116.0</v>
      </c>
      <c r="B117" s="28" t="s">
        <v>1282</v>
      </c>
      <c r="C117" s="28" t="s">
        <v>528</v>
      </c>
      <c r="D117" s="28" t="s">
        <v>1341</v>
      </c>
      <c r="E117" s="28" t="s">
        <v>581</v>
      </c>
      <c r="F117" s="28" t="s">
        <v>666</v>
      </c>
      <c r="G117" s="29"/>
      <c r="H117" s="28" t="s">
        <v>570</v>
      </c>
      <c r="I117" s="28" t="s">
        <v>1342</v>
      </c>
      <c r="J117" s="24" t="s">
        <v>1066</v>
      </c>
      <c r="K117" s="30">
        <v>46291.0</v>
      </c>
      <c r="L117" s="31"/>
    </row>
    <row r="118" ht="15.75" customHeight="1">
      <c r="A118" s="31"/>
      <c r="B118" s="31"/>
      <c r="C118" s="31"/>
      <c r="D118" s="31"/>
      <c r="E118" s="31"/>
      <c r="F118" s="31"/>
      <c r="G118" s="31"/>
      <c r="H118" s="31"/>
      <c r="I118" s="31"/>
      <c r="J118" s="31"/>
      <c r="K118" s="31"/>
      <c r="L118" s="31"/>
    </row>
    <row r="119" ht="15.75" customHeight="1">
      <c r="A119" s="31"/>
      <c r="B119" s="31"/>
      <c r="C119" s="31"/>
      <c r="D119" s="31"/>
      <c r="E119" s="31"/>
      <c r="F119" s="31"/>
      <c r="G119" s="31"/>
      <c r="H119" s="31"/>
      <c r="I119" s="31"/>
      <c r="J119" s="31"/>
      <c r="K119" s="31"/>
      <c r="L119" s="31"/>
    </row>
    <row r="120" ht="15.75" customHeight="1">
      <c r="A120" s="31"/>
      <c r="B120" s="31"/>
      <c r="C120" s="31"/>
      <c r="D120" s="31"/>
      <c r="E120" s="31"/>
      <c r="F120" s="31"/>
      <c r="G120" s="31"/>
      <c r="H120" s="31"/>
      <c r="I120" s="31"/>
      <c r="J120" s="31"/>
      <c r="K120" s="31"/>
      <c r="L120" s="31"/>
    </row>
    <row r="121" ht="15.75" customHeight="1">
      <c r="A121" s="31"/>
      <c r="B121" s="31"/>
      <c r="C121" s="31"/>
      <c r="D121" s="31"/>
      <c r="E121" s="31"/>
      <c r="F121" s="31"/>
      <c r="G121" s="31"/>
      <c r="H121" s="31"/>
      <c r="I121" s="31"/>
      <c r="J121" s="31"/>
      <c r="K121" s="31"/>
      <c r="L121" s="31"/>
    </row>
    <row r="122" ht="15.75" customHeight="1">
      <c r="A122" s="31"/>
      <c r="B122" s="31"/>
      <c r="C122" s="31"/>
      <c r="D122" s="31"/>
      <c r="E122" s="31"/>
      <c r="F122" s="31"/>
      <c r="G122" s="31"/>
      <c r="H122" s="31"/>
      <c r="I122" s="31"/>
      <c r="J122" s="31"/>
      <c r="K122" s="31"/>
      <c r="L122" s="31"/>
    </row>
    <row r="123" ht="15.75" customHeight="1">
      <c r="A123" s="31"/>
      <c r="B123" s="31"/>
      <c r="C123" s="31"/>
      <c r="D123" s="31"/>
      <c r="E123" s="31"/>
      <c r="F123" s="31"/>
      <c r="G123" s="31"/>
      <c r="H123" s="31"/>
      <c r="I123" s="31"/>
      <c r="J123" s="31"/>
      <c r="K123" s="31"/>
      <c r="L123" s="31"/>
    </row>
    <row r="124" ht="15.75" customHeight="1">
      <c r="A124" s="31"/>
      <c r="B124" s="31"/>
      <c r="C124" s="31"/>
      <c r="D124" s="31"/>
      <c r="E124" s="31"/>
      <c r="F124" s="31"/>
      <c r="G124" s="31"/>
      <c r="H124" s="31"/>
      <c r="I124" s="31"/>
      <c r="J124" s="31"/>
      <c r="K124" s="31"/>
      <c r="L124" s="31"/>
    </row>
    <row r="125" ht="15.75" customHeight="1">
      <c r="A125" s="31"/>
      <c r="B125" s="31"/>
      <c r="C125" s="31"/>
      <c r="D125" s="31"/>
      <c r="E125" s="31"/>
      <c r="F125" s="31"/>
      <c r="G125" s="31"/>
      <c r="H125" s="31"/>
      <c r="I125" s="31"/>
      <c r="J125" s="31"/>
      <c r="K125" s="31"/>
      <c r="L125" s="31"/>
    </row>
    <row r="126" ht="15.75" customHeight="1">
      <c r="A126" s="31"/>
      <c r="B126" s="31"/>
      <c r="C126" s="31"/>
      <c r="D126" s="31"/>
      <c r="E126" s="31"/>
      <c r="F126" s="31"/>
      <c r="G126" s="31"/>
      <c r="H126" s="31"/>
      <c r="I126" s="31"/>
      <c r="J126" s="31"/>
      <c r="K126" s="31"/>
      <c r="L126" s="31"/>
    </row>
    <row r="127" ht="15.75" customHeight="1">
      <c r="A127" s="31"/>
      <c r="B127" s="31"/>
      <c r="C127" s="31"/>
      <c r="D127" s="31"/>
      <c r="E127" s="31"/>
      <c r="F127" s="31"/>
      <c r="G127" s="31"/>
      <c r="H127" s="31"/>
      <c r="I127" s="31"/>
      <c r="J127" s="31"/>
      <c r="K127" s="31"/>
      <c r="L127" s="31"/>
    </row>
    <row r="128" ht="15.75" customHeight="1">
      <c r="A128" s="31"/>
      <c r="B128" s="31"/>
      <c r="C128" s="31"/>
      <c r="D128" s="31"/>
      <c r="E128" s="31"/>
      <c r="F128" s="31"/>
      <c r="G128" s="31"/>
      <c r="H128" s="31"/>
      <c r="I128" s="31"/>
      <c r="J128" s="31"/>
      <c r="K128" s="31"/>
      <c r="L128" s="31"/>
    </row>
    <row r="129" ht="15.75" customHeight="1">
      <c r="A129" s="31"/>
      <c r="B129" s="31"/>
      <c r="C129" s="31"/>
      <c r="D129" s="31"/>
      <c r="E129" s="31"/>
      <c r="F129" s="31"/>
      <c r="G129" s="31"/>
      <c r="H129" s="31"/>
      <c r="I129" s="31"/>
      <c r="J129" s="31"/>
      <c r="K129" s="31"/>
      <c r="L129" s="31"/>
    </row>
    <row r="130" ht="15.75" customHeight="1">
      <c r="A130" s="31"/>
      <c r="B130" s="31"/>
      <c r="C130" s="31"/>
      <c r="D130" s="31"/>
      <c r="E130" s="31"/>
      <c r="F130" s="31"/>
      <c r="G130" s="31"/>
      <c r="H130" s="31"/>
      <c r="I130" s="31"/>
      <c r="J130" s="31"/>
      <c r="K130" s="31"/>
      <c r="L130" s="31"/>
    </row>
    <row r="131" ht="15.75" customHeight="1">
      <c r="A131" s="31"/>
      <c r="B131" s="31"/>
      <c r="C131" s="31"/>
      <c r="D131" s="31"/>
      <c r="E131" s="31"/>
      <c r="F131" s="31"/>
      <c r="G131" s="31"/>
      <c r="H131" s="31"/>
      <c r="I131" s="31"/>
      <c r="J131" s="31"/>
      <c r="K131" s="31"/>
      <c r="L131" s="31"/>
    </row>
    <row r="132" ht="15.75" customHeight="1">
      <c r="A132" s="31"/>
      <c r="B132" s="31"/>
      <c r="C132" s="31"/>
      <c r="D132" s="31"/>
      <c r="E132" s="31"/>
      <c r="F132" s="31"/>
      <c r="G132" s="31"/>
      <c r="H132" s="31"/>
      <c r="I132" s="31"/>
      <c r="J132" s="31"/>
      <c r="K132" s="31"/>
      <c r="L132" s="31"/>
    </row>
    <row r="133" ht="15.75" customHeight="1">
      <c r="A133" s="31"/>
      <c r="B133" s="31"/>
      <c r="C133" s="31"/>
      <c r="D133" s="31"/>
      <c r="E133" s="31"/>
      <c r="F133" s="31"/>
      <c r="G133" s="31"/>
      <c r="H133" s="31"/>
      <c r="I133" s="31"/>
      <c r="J133" s="31"/>
      <c r="K133" s="31"/>
      <c r="L133" s="31"/>
    </row>
    <row r="134" ht="15.75" customHeight="1">
      <c r="A134" s="31"/>
      <c r="B134" s="31"/>
      <c r="C134" s="31"/>
      <c r="D134" s="31"/>
      <c r="E134" s="31"/>
      <c r="F134" s="31"/>
      <c r="G134" s="31"/>
      <c r="H134" s="31"/>
      <c r="I134" s="31"/>
      <c r="J134" s="31"/>
      <c r="K134" s="31"/>
      <c r="L134" s="31"/>
    </row>
    <row r="135" ht="15.75" customHeight="1">
      <c r="A135" s="31"/>
      <c r="B135" s="31"/>
      <c r="C135" s="31"/>
      <c r="D135" s="31"/>
      <c r="E135" s="31"/>
      <c r="F135" s="31"/>
      <c r="G135" s="31"/>
      <c r="H135" s="31"/>
      <c r="I135" s="31"/>
      <c r="J135" s="31"/>
      <c r="K135" s="31"/>
      <c r="L135" s="31"/>
    </row>
    <row r="136" ht="15.75" customHeight="1">
      <c r="A136" s="31"/>
      <c r="B136" s="31"/>
      <c r="C136" s="31"/>
      <c r="D136" s="31"/>
      <c r="E136" s="31"/>
      <c r="F136" s="31"/>
      <c r="G136" s="31"/>
      <c r="H136" s="31"/>
      <c r="I136" s="31"/>
      <c r="J136" s="31"/>
      <c r="K136" s="31"/>
      <c r="L136" s="31"/>
    </row>
    <row r="137" ht="15.75" customHeight="1">
      <c r="A137" s="31"/>
      <c r="B137" s="31"/>
      <c r="C137" s="31"/>
      <c r="D137" s="31"/>
      <c r="E137" s="31"/>
      <c r="F137" s="31"/>
      <c r="G137" s="31"/>
      <c r="H137" s="31"/>
      <c r="I137" s="31"/>
      <c r="J137" s="31"/>
      <c r="K137" s="31"/>
      <c r="L137" s="31"/>
    </row>
    <row r="138" ht="15.75" customHeight="1">
      <c r="A138" s="31"/>
      <c r="B138" s="31"/>
      <c r="C138" s="31"/>
      <c r="D138" s="31"/>
      <c r="E138" s="31"/>
      <c r="F138" s="31"/>
      <c r="G138" s="31"/>
      <c r="H138" s="31"/>
      <c r="I138" s="31"/>
      <c r="J138" s="31"/>
      <c r="K138" s="31"/>
      <c r="L138" s="31"/>
    </row>
    <row r="139" ht="15.75" customHeight="1">
      <c r="A139" s="31"/>
      <c r="B139" s="31"/>
      <c r="C139" s="31"/>
      <c r="D139" s="31"/>
      <c r="E139" s="31"/>
      <c r="F139" s="31"/>
      <c r="G139" s="31"/>
      <c r="H139" s="31"/>
      <c r="I139" s="31"/>
      <c r="J139" s="31"/>
      <c r="K139" s="31"/>
      <c r="L139" s="31"/>
    </row>
    <row r="140" ht="15.75" customHeight="1">
      <c r="A140" s="31"/>
      <c r="B140" s="31"/>
      <c r="C140" s="31"/>
      <c r="D140" s="31"/>
      <c r="E140" s="31"/>
      <c r="F140" s="31"/>
      <c r="G140" s="31"/>
      <c r="H140" s="31"/>
      <c r="I140" s="31"/>
      <c r="J140" s="31"/>
      <c r="K140" s="31"/>
      <c r="L140" s="31"/>
    </row>
    <row r="141" ht="15.75" customHeight="1">
      <c r="A141" s="31"/>
      <c r="B141" s="31"/>
      <c r="C141" s="31"/>
      <c r="D141" s="31"/>
      <c r="E141" s="31"/>
      <c r="F141" s="31"/>
      <c r="G141" s="31"/>
      <c r="H141" s="31"/>
      <c r="I141" s="31"/>
      <c r="J141" s="31"/>
      <c r="K141" s="31"/>
      <c r="L141" s="31"/>
    </row>
    <row r="142" ht="15.75" customHeight="1">
      <c r="A142" s="31"/>
      <c r="B142" s="31"/>
      <c r="C142" s="31"/>
      <c r="D142" s="31"/>
      <c r="E142" s="31"/>
      <c r="F142" s="31"/>
      <c r="G142" s="31"/>
      <c r="H142" s="31"/>
      <c r="I142" s="31"/>
      <c r="J142" s="31"/>
      <c r="K142" s="31"/>
      <c r="L142" s="31"/>
    </row>
    <row r="143" ht="15.75" customHeight="1">
      <c r="A143" s="31"/>
      <c r="B143" s="31"/>
      <c r="C143" s="31"/>
      <c r="D143" s="31"/>
      <c r="E143" s="31"/>
      <c r="F143" s="31"/>
      <c r="G143" s="31"/>
      <c r="H143" s="31"/>
      <c r="I143" s="31"/>
      <c r="J143" s="31"/>
      <c r="K143" s="31"/>
      <c r="L143" s="31"/>
    </row>
    <row r="144" ht="15.75" customHeight="1">
      <c r="A144" s="31"/>
      <c r="B144" s="31"/>
      <c r="C144" s="31"/>
      <c r="D144" s="31"/>
      <c r="E144" s="31"/>
      <c r="F144" s="31"/>
      <c r="G144" s="31"/>
      <c r="H144" s="31"/>
      <c r="I144" s="31"/>
      <c r="J144" s="31"/>
      <c r="K144" s="31"/>
      <c r="L144" s="31"/>
    </row>
    <row r="145" ht="15.75" customHeight="1">
      <c r="A145" s="31"/>
      <c r="B145" s="31"/>
      <c r="C145" s="31"/>
      <c r="D145" s="31"/>
      <c r="E145" s="31"/>
      <c r="F145" s="31"/>
      <c r="G145" s="31"/>
      <c r="H145" s="31"/>
      <c r="I145" s="31"/>
      <c r="J145" s="31"/>
      <c r="K145" s="31"/>
      <c r="L145" s="31"/>
    </row>
    <row r="146" ht="15.75" customHeight="1">
      <c r="A146" s="31"/>
      <c r="B146" s="31"/>
      <c r="C146" s="31"/>
      <c r="D146" s="31"/>
      <c r="E146" s="31"/>
      <c r="F146" s="31"/>
      <c r="G146" s="31"/>
      <c r="H146" s="31"/>
      <c r="I146" s="31"/>
      <c r="J146" s="31"/>
      <c r="K146" s="31"/>
      <c r="L146" s="31"/>
    </row>
    <row r="147" ht="15.75" customHeight="1">
      <c r="A147" s="31"/>
      <c r="B147" s="31"/>
      <c r="C147" s="31"/>
      <c r="D147" s="31"/>
      <c r="E147" s="31"/>
      <c r="F147" s="31"/>
      <c r="G147" s="31"/>
      <c r="H147" s="31"/>
      <c r="I147" s="31"/>
      <c r="J147" s="31"/>
      <c r="K147" s="31"/>
      <c r="L147" s="31"/>
    </row>
    <row r="148" ht="15.75" customHeight="1">
      <c r="A148" s="31"/>
      <c r="B148" s="31"/>
      <c r="C148" s="31"/>
      <c r="D148" s="31"/>
      <c r="E148" s="31"/>
      <c r="F148" s="31"/>
      <c r="G148" s="31"/>
      <c r="H148" s="31"/>
      <c r="I148" s="31"/>
      <c r="J148" s="31"/>
      <c r="K148" s="31"/>
      <c r="L148" s="31"/>
    </row>
    <row r="149" ht="15.75" customHeight="1">
      <c r="A149" s="31"/>
      <c r="B149" s="31"/>
      <c r="C149" s="31"/>
      <c r="D149" s="31"/>
      <c r="E149" s="31"/>
      <c r="F149" s="31"/>
      <c r="G149" s="31"/>
      <c r="H149" s="31"/>
      <c r="I149" s="31"/>
      <c r="J149" s="31"/>
      <c r="K149" s="31"/>
      <c r="L149" s="31"/>
    </row>
    <row r="150" ht="15.75" customHeight="1">
      <c r="A150" s="31"/>
      <c r="B150" s="31"/>
      <c r="C150" s="31"/>
      <c r="D150" s="31"/>
      <c r="E150" s="31"/>
      <c r="F150" s="31"/>
      <c r="G150" s="31"/>
      <c r="H150" s="31"/>
      <c r="I150" s="31"/>
      <c r="J150" s="31"/>
      <c r="K150" s="31"/>
      <c r="L150" s="31"/>
    </row>
    <row r="151" ht="15.75" customHeight="1">
      <c r="A151" s="31"/>
      <c r="B151" s="31"/>
      <c r="C151" s="31"/>
      <c r="D151" s="31"/>
      <c r="E151" s="31"/>
      <c r="F151" s="31"/>
      <c r="G151" s="31"/>
      <c r="H151" s="31"/>
      <c r="I151" s="31"/>
      <c r="J151" s="31"/>
      <c r="K151" s="31"/>
      <c r="L151" s="31"/>
    </row>
    <row r="152" ht="15.75" customHeight="1">
      <c r="A152" s="31"/>
      <c r="B152" s="31"/>
      <c r="C152" s="31"/>
      <c r="D152" s="31"/>
      <c r="E152" s="31"/>
      <c r="F152" s="31"/>
      <c r="G152" s="31"/>
      <c r="H152" s="31"/>
      <c r="I152" s="31"/>
      <c r="J152" s="31"/>
      <c r="K152" s="31"/>
      <c r="L152" s="31"/>
    </row>
    <row r="153" ht="15.75" customHeight="1">
      <c r="A153" s="31"/>
      <c r="B153" s="31"/>
      <c r="C153" s="31"/>
      <c r="D153" s="31"/>
      <c r="E153" s="31"/>
      <c r="F153" s="31"/>
      <c r="G153" s="31"/>
      <c r="H153" s="31"/>
      <c r="I153" s="31"/>
      <c r="J153" s="31"/>
      <c r="K153" s="31"/>
      <c r="L153" s="31"/>
    </row>
    <row r="154" ht="15.75" customHeight="1">
      <c r="A154" s="31"/>
      <c r="B154" s="31"/>
      <c r="C154" s="31"/>
      <c r="D154" s="31"/>
      <c r="E154" s="31"/>
      <c r="F154" s="31"/>
      <c r="G154" s="31"/>
      <c r="H154" s="31"/>
      <c r="I154" s="31"/>
      <c r="J154" s="31"/>
      <c r="K154" s="31"/>
      <c r="L154" s="31"/>
    </row>
    <row r="155" ht="15.75" customHeight="1">
      <c r="A155" s="31"/>
      <c r="B155" s="31"/>
      <c r="C155" s="31"/>
      <c r="D155" s="31"/>
      <c r="E155" s="31"/>
      <c r="F155" s="31"/>
      <c r="G155" s="31"/>
      <c r="H155" s="31"/>
      <c r="I155" s="31"/>
      <c r="J155" s="31"/>
      <c r="K155" s="31"/>
      <c r="L155" s="31"/>
    </row>
    <row r="156" ht="15.75" customHeight="1">
      <c r="A156" s="31"/>
      <c r="B156" s="31"/>
      <c r="C156" s="31"/>
      <c r="D156" s="31"/>
      <c r="E156" s="31"/>
      <c r="F156" s="31"/>
      <c r="G156" s="31"/>
      <c r="H156" s="31"/>
      <c r="I156" s="31"/>
      <c r="J156" s="31"/>
      <c r="K156" s="31"/>
      <c r="L156" s="31"/>
    </row>
    <row r="157" ht="15.75" customHeight="1">
      <c r="A157" s="31"/>
      <c r="B157" s="31"/>
      <c r="C157" s="31"/>
      <c r="D157" s="31"/>
      <c r="E157" s="31"/>
      <c r="F157" s="31"/>
      <c r="G157" s="31"/>
      <c r="H157" s="31"/>
      <c r="I157" s="31"/>
      <c r="J157" s="31"/>
      <c r="K157" s="31"/>
      <c r="L157" s="31"/>
    </row>
    <row r="158" ht="15.75" customHeight="1">
      <c r="A158" s="31"/>
      <c r="B158" s="31"/>
      <c r="C158" s="31"/>
      <c r="D158" s="31"/>
      <c r="E158" s="31"/>
      <c r="F158" s="31"/>
      <c r="G158" s="31"/>
      <c r="H158" s="31"/>
      <c r="I158" s="31"/>
      <c r="J158" s="31"/>
      <c r="K158" s="31"/>
      <c r="L158" s="31"/>
    </row>
    <row r="159" ht="15.75" customHeight="1">
      <c r="A159" s="31"/>
      <c r="B159" s="31"/>
      <c r="C159" s="31"/>
      <c r="D159" s="31"/>
      <c r="E159" s="31"/>
      <c r="F159" s="31"/>
      <c r="G159" s="31"/>
      <c r="H159" s="31"/>
      <c r="I159" s="31"/>
      <c r="J159" s="31"/>
      <c r="K159" s="31"/>
      <c r="L159" s="31"/>
    </row>
    <row r="160" ht="15.75" customHeight="1">
      <c r="A160" s="31"/>
      <c r="B160" s="31"/>
      <c r="C160" s="31"/>
      <c r="D160" s="31"/>
      <c r="E160" s="31"/>
      <c r="F160" s="31"/>
      <c r="G160" s="31"/>
      <c r="H160" s="31"/>
      <c r="I160" s="31"/>
      <c r="J160" s="31"/>
      <c r="K160" s="31"/>
      <c r="L160" s="31"/>
    </row>
    <row r="161" ht="15.75" customHeight="1">
      <c r="A161" s="31"/>
      <c r="B161" s="31"/>
      <c r="C161" s="31"/>
      <c r="D161" s="31"/>
      <c r="E161" s="31"/>
      <c r="F161" s="31"/>
      <c r="G161" s="31"/>
      <c r="H161" s="31"/>
      <c r="I161" s="31"/>
      <c r="J161" s="31"/>
      <c r="K161" s="31"/>
      <c r="L161" s="31"/>
    </row>
    <row r="162" ht="15.75" customHeight="1">
      <c r="A162" s="31"/>
      <c r="B162" s="31"/>
      <c r="C162" s="31"/>
      <c r="D162" s="31"/>
      <c r="E162" s="31"/>
      <c r="F162" s="31"/>
      <c r="G162" s="31"/>
      <c r="H162" s="31"/>
      <c r="I162" s="31"/>
      <c r="J162" s="31"/>
      <c r="K162" s="31"/>
      <c r="L162" s="31"/>
    </row>
    <row r="163" ht="15.75" customHeight="1">
      <c r="A163" s="31"/>
      <c r="B163" s="31"/>
      <c r="C163" s="31"/>
      <c r="D163" s="31"/>
      <c r="E163" s="31"/>
      <c r="F163" s="31"/>
      <c r="G163" s="31"/>
      <c r="H163" s="31"/>
      <c r="I163" s="31"/>
      <c r="J163" s="31"/>
      <c r="K163" s="31"/>
      <c r="L163" s="31"/>
    </row>
    <row r="164" ht="15.75" customHeight="1">
      <c r="A164" s="31"/>
      <c r="B164" s="31"/>
      <c r="C164" s="31"/>
      <c r="D164" s="31"/>
      <c r="E164" s="31"/>
      <c r="F164" s="31"/>
      <c r="G164" s="31"/>
      <c r="H164" s="31"/>
      <c r="I164" s="31"/>
      <c r="J164" s="31"/>
      <c r="K164" s="31"/>
      <c r="L164" s="31"/>
    </row>
    <row r="165" ht="15.75" customHeight="1">
      <c r="A165" s="31"/>
      <c r="B165" s="31"/>
      <c r="C165" s="31"/>
      <c r="D165" s="31"/>
      <c r="E165" s="31"/>
      <c r="F165" s="31"/>
      <c r="G165" s="31"/>
      <c r="H165" s="31"/>
      <c r="I165" s="31"/>
      <c r="J165" s="31"/>
      <c r="K165" s="31"/>
      <c r="L165" s="31"/>
    </row>
    <row r="166" ht="15.75" customHeight="1">
      <c r="A166" s="31"/>
      <c r="B166" s="31"/>
      <c r="C166" s="31"/>
      <c r="D166" s="31"/>
      <c r="E166" s="31"/>
      <c r="F166" s="31"/>
      <c r="G166" s="31"/>
      <c r="H166" s="31"/>
      <c r="I166" s="31"/>
      <c r="J166" s="31"/>
      <c r="K166" s="31"/>
      <c r="L166" s="31"/>
    </row>
    <row r="167" ht="15.75" customHeight="1">
      <c r="A167" s="31"/>
      <c r="B167" s="31"/>
      <c r="C167" s="31"/>
      <c r="D167" s="31"/>
      <c r="E167" s="31"/>
      <c r="F167" s="31"/>
      <c r="G167" s="31"/>
      <c r="H167" s="31"/>
      <c r="I167" s="31"/>
      <c r="J167" s="31"/>
      <c r="K167" s="31"/>
      <c r="L167" s="31"/>
    </row>
    <row r="168" ht="15.75" customHeight="1">
      <c r="A168" s="31"/>
      <c r="B168" s="31"/>
      <c r="C168" s="31"/>
      <c r="D168" s="31"/>
      <c r="E168" s="31"/>
      <c r="F168" s="31"/>
      <c r="G168" s="31"/>
      <c r="H168" s="31"/>
      <c r="I168" s="31"/>
      <c r="J168" s="31"/>
      <c r="K168" s="31"/>
      <c r="L168" s="31"/>
    </row>
    <row r="169" ht="15.75" customHeight="1">
      <c r="A169" s="31"/>
      <c r="B169" s="31"/>
      <c r="C169" s="31"/>
      <c r="D169" s="31"/>
      <c r="E169" s="31"/>
      <c r="F169" s="31"/>
      <c r="G169" s="31"/>
      <c r="H169" s="31"/>
      <c r="I169" s="31"/>
      <c r="J169" s="31"/>
      <c r="K169" s="31"/>
      <c r="L169" s="31"/>
    </row>
    <row r="170" ht="15.75" customHeight="1">
      <c r="A170" s="31"/>
      <c r="B170" s="31"/>
      <c r="C170" s="31"/>
      <c r="D170" s="31"/>
      <c r="E170" s="31"/>
      <c r="F170" s="31"/>
      <c r="G170" s="31"/>
      <c r="H170" s="31"/>
      <c r="I170" s="31"/>
      <c r="J170" s="31"/>
      <c r="K170" s="31"/>
      <c r="L170" s="31"/>
    </row>
    <row r="171" ht="15.75" customHeight="1">
      <c r="A171" s="31"/>
      <c r="B171" s="31"/>
      <c r="C171" s="31"/>
      <c r="D171" s="31"/>
      <c r="E171" s="31"/>
      <c r="F171" s="31"/>
      <c r="G171" s="31"/>
      <c r="H171" s="31"/>
      <c r="I171" s="31"/>
      <c r="J171" s="31"/>
      <c r="K171" s="31"/>
      <c r="L171" s="31"/>
    </row>
    <row r="172" ht="15.75" customHeight="1">
      <c r="A172" s="31"/>
      <c r="B172" s="31"/>
      <c r="C172" s="31"/>
      <c r="D172" s="31"/>
      <c r="E172" s="31"/>
      <c r="F172" s="31"/>
      <c r="G172" s="31"/>
      <c r="H172" s="31"/>
      <c r="I172" s="31"/>
      <c r="J172" s="31"/>
      <c r="K172" s="31"/>
      <c r="L172" s="31"/>
    </row>
    <row r="173" ht="15.75" customHeight="1">
      <c r="A173" s="31"/>
      <c r="B173" s="31"/>
      <c r="C173" s="31"/>
      <c r="D173" s="31"/>
      <c r="E173" s="31"/>
      <c r="F173" s="31"/>
      <c r="G173" s="31"/>
      <c r="H173" s="31"/>
      <c r="I173" s="31"/>
      <c r="J173" s="31"/>
      <c r="K173" s="31"/>
      <c r="L173" s="31"/>
    </row>
    <row r="174" ht="15.75" customHeight="1">
      <c r="A174" s="31"/>
      <c r="B174" s="31"/>
      <c r="C174" s="31"/>
      <c r="D174" s="31"/>
      <c r="E174" s="31"/>
      <c r="F174" s="31"/>
      <c r="G174" s="31"/>
      <c r="H174" s="31"/>
      <c r="I174" s="31"/>
      <c r="J174" s="31"/>
      <c r="K174" s="31"/>
      <c r="L174" s="31"/>
    </row>
    <row r="175" ht="15.75" customHeight="1">
      <c r="A175" s="31"/>
      <c r="B175" s="31"/>
      <c r="C175" s="31"/>
      <c r="D175" s="31"/>
      <c r="E175" s="31"/>
      <c r="F175" s="31"/>
      <c r="G175" s="31"/>
      <c r="H175" s="31"/>
      <c r="I175" s="31"/>
      <c r="J175" s="31"/>
      <c r="K175" s="31"/>
      <c r="L175" s="31"/>
    </row>
    <row r="176" ht="15.75" customHeight="1">
      <c r="A176" s="31"/>
      <c r="B176" s="31"/>
      <c r="C176" s="31"/>
      <c r="D176" s="31"/>
      <c r="E176" s="31"/>
      <c r="F176" s="31"/>
      <c r="G176" s="31"/>
      <c r="H176" s="31"/>
      <c r="I176" s="31"/>
      <c r="J176" s="31"/>
      <c r="K176" s="31"/>
      <c r="L176" s="31"/>
    </row>
    <row r="177" ht="15.75" customHeight="1">
      <c r="A177" s="31"/>
      <c r="B177" s="31"/>
      <c r="C177" s="31"/>
      <c r="D177" s="31"/>
      <c r="E177" s="31"/>
      <c r="F177" s="31"/>
      <c r="G177" s="31"/>
      <c r="H177" s="31"/>
      <c r="I177" s="31"/>
      <c r="J177" s="31"/>
      <c r="K177" s="31"/>
      <c r="L177" s="31"/>
    </row>
    <row r="178" ht="15.75" customHeight="1">
      <c r="A178" s="31"/>
      <c r="B178" s="31"/>
      <c r="C178" s="31"/>
      <c r="D178" s="31"/>
      <c r="E178" s="31"/>
      <c r="F178" s="31"/>
      <c r="G178" s="31"/>
      <c r="H178" s="31"/>
      <c r="I178" s="31"/>
      <c r="J178" s="31"/>
      <c r="K178" s="31"/>
      <c r="L178" s="31"/>
    </row>
    <row r="179" ht="15.75" customHeight="1">
      <c r="A179" s="31"/>
      <c r="B179" s="31"/>
      <c r="C179" s="31"/>
      <c r="D179" s="31"/>
      <c r="E179" s="31"/>
      <c r="F179" s="31"/>
      <c r="G179" s="31"/>
      <c r="H179" s="31"/>
      <c r="I179" s="31"/>
      <c r="J179" s="31"/>
      <c r="K179" s="31"/>
      <c r="L179" s="31"/>
    </row>
    <row r="180" ht="15.75" customHeight="1">
      <c r="A180" s="31"/>
      <c r="B180" s="31"/>
      <c r="C180" s="31"/>
      <c r="D180" s="31"/>
      <c r="E180" s="31"/>
      <c r="F180" s="31"/>
      <c r="G180" s="31"/>
      <c r="H180" s="31"/>
      <c r="I180" s="31"/>
      <c r="J180" s="31"/>
      <c r="K180" s="31"/>
      <c r="L180" s="31"/>
    </row>
    <row r="181" ht="15.75" customHeight="1">
      <c r="A181" s="31"/>
      <c r="B181" s="31"/>
      <c r="C181" s="31"/>
      <c r="D181" s="31"/>
      <c r="E181" s="31"/>
      <c r="F181" s="31"/>
      <c r="G181" s="31"/>
      <c r="H181" s="31"/>
      <c r="I181" s="31"/>
      <c r="J181" s="31"/>
      <c r="K181" s="31"/>
      <c r="L181" s="31"/>
    </row>
    <row r="182" ht="15.75" customHeight="1">
      <c r="A182" s="31"/>
      <c r="B182" s="31"/>
      <c r="C182" s="31"/>
      <c r="D182" s="31"/>
      <c r="E182" s="31"/>
      <c r="F182" s="31"/>
      <c r="G182" s="31"/>
      <c r="H182" s="31"/>
      <c r="I182" s="31"/>
      <c r="J182" s="31"/>
      <c r="K182" s="31"/>
      <c r="L182" s="31"/>
    </row>
    <row r="183" ht="15.75" customHeight="1">
      <c r="A183" s="31"/>
      <c r="B183" s="31"/>
      <c r="C183" s="31"/>
      <c r="D183" s="31"/>
      <c r="E183" s="31"/>
      <c r="F183" s="31"/>
      <c r="G183" s="31"/>
      <c r="H183" s="31"/>
      <c r="I183" s="31"/>
      <c r="J183" s="31"/>
      <c r="K183" s="31"/>
      <c r="L183" s="31"/>
    </row>
    <row r="184" ht="15.75" customHeight="1">
      <c r="A184" s="31"/>
      <c r="B184" s="31"/>
      <c r="C184" s="31"/>
      <c r="D184" s="31"/>
      <c r="E184" s="31"/>
      <c r="F184" s="31"/>
      <c r="G184" s="31"/>
      <c r="H184" s="31"/>
      <c r="I184" s="31"/>
      <c r="J184" s="31"/>
      <c r="K184" s="31"/>
      <c r="L184" s="31"/>
    </row>
    <row r="185" ht="15.75" customHeight="1">
      <c r="A185" s="31"/>
      <c r="B185" s="31"/>
      <c r="C185" s="31"/>
      <c r="D185" s="31"/>
      <c r="E185" s="31"/>
      <c r="F185" s="31"/>
      <c r="G185" s="31"/>
      <c r="H185" s="31"/>
      <c r="I185" s="31"/>
      <c r="J185" s="31"/>
      <c r="K185" s="31"/>
      <c r="L185" s="31"/>
    </row>
    <row r="186" ht="15.75" customHeight="1">
      <c r="A186" s="31"/>
      <c r="B186" s="31"/>
      <c r="C186" s="31"/>
      <c r="D186" s="31"/>
      <c r="E186" s="31"/>
      <c r="F186" s="31"/>
      <c r="G186" s="31"/>
      <c r="H186" s="31"/>
      <c r="I186" s="31"/>
      <c r="J186" s="31"/>
      <c r="K186" s="31"/>
      <c r="L186" s="31"/>
    </row>
    <row r="187" ht="15.75" customHeight="1">
      <c r="A187" s="31"/>
      <c r="B187" s="31"/>
      <c r="C187" s="31"/>
      <c r="D187" s="31"/>
      <c r="E187" s="31"/>
      <c r="F187" s="31"/>
      <c r="G187" s="31"/>
      <c r="H187" s="31"/>
      <c r="I187" s="31"/>
      <c r="J187" s="31"/>
      <c r="K187" s="31"/>
      <c r="L187" s="31"/>
    </row>
    <row r="188" ht="15.75" customHeight="1">
      <c r="A188" s="31"/>
      <c r="B188" s="31"/>
      <c r="C188" s="31"/>
      <c r="D188" s="31"/>
      <c r="E188" s="31"/>
      <c r="F188" s="31"/>
      <c r="G188" s="31"/>
      <c r="H188" s="31"/>
      <c r="I188" s="31"/>
      <c r="J188" s="31"/>
      <c r="K188" s="31"/>
      <c r="L188" s="31"/>
    </row>
    <row r="189" ht="15.75" customHeight="1">
      <c r="A189" s="31"/>
      <c r="B189" s="31"/>
      <c r="C189" s="31"/>
      <c r="D189" s="31"/>
      <c r="E189" s="31"/>
      <c r="F189" s="31"/>
      <c r="G189" s="31"/>
      <c r="H189" s="31"/>
      <c r="I189" s="31"/>
      <c r="J189" s="31"/>
      <c r="K189" s="31"/>
      <c r="L189" s="31"/>
    </row>
    <row r="190" ht="15.75" customHeight="1">
      <c r="A190" s="31"/>
      <c r="B190" s="31"/>
      <c r="C190" s="31"/>
      <c r="D190" s="31"/>
      <c r="E190" s="31"/>
      <c r="F190" s="31"/>
      <c r="G190" s="31"/>
      <c r="H190" s="31"/>
      <c r="I190" s="31"/>
      <c r="J190" s="31"/>
      <c r="K190" s="31"/>
      <c r="L190" s="31"/>
    </row>
    <row r="191" ht="15.75" customHeight="1">
      <c r="A191" s="31"/>
      <c r="B191" s="31"/>
      <c r="C191" s="31"/>
      <c r="D191" s="31"/>
      <c r="E191" s="31"/>
      <c r="F191" s="31"/>
      <c r="G191" s="31"/>
      <c r="H191" s="31"/>
      <c r="I191" s="31"/>
      <c r="J191" s="31"/>
      <c r="K191" s="31"/>
      <c r="L191" s="31"/>
    </row>
    <row r="192" ht="15.75" customHeight="1">
      <c r="A192" s="31"/>
      <c r="B192" s="31"/>
      <c r="C192" s="31"/>
      <c r="D192" s="31"/>
      <c r="E192" s="31"/>
      <c r="F192" s="31"/>
      <c r="G192" s="31"/>
      <c r="H192" s="31"/>
      <c r="I192" s="31"/>
      <c r="J192" s="31"/>
      <c r="K192" s="31"/>
      <c r="L192" s="31"/>
    </row>
    <row r="193" ht="15.75" customHeight="1">
      <c r="A193" s="31"/>
      <c r="B193" s="31"/>
      <c r="C193" s="31"/>
      <c r="D193" s="31"/>
      <c r="E193" s="31"/>
      <c r="F193" s="31"/>
      <c r="G193" s="31"/>
      <c r="H193" s="31"/>
      <c r="I193" s="31"/>
      <c r="J193" s="31"/>
      <c r="K193" s="31"/>
      <c r="L193" s="31"/>
    </row>
    <row r="194" ht="15.75" customHeight="1">
      <c r="A194" s="31"/>
      <c r="B194" s="31"/>
      <c r="C194" s="31"/>
      <c r="D194" s="31"/>
      <c r="E194" s="31"/>
      <c r="F194" s="31"/>
      <c r="G194" s="31"/>
      <c r="H194" s="31"/>
      <c r="I194" s="31"/>
      <c r="J194" s="31"/>
      <c r="K194" s="31"/>
      <c r="L194" s="31"/>
    </row>
    <row r="195" ht="15.75" customHeight="1">
      <c r="A195" s="31"/>
      <c r="B195" s="31"/>
      <c r="C195" s="31"/>
      <c r="D195" s="31"/>
      <c r="E195" s="31"/>
      <c r="F195" s="31"/>
      <c r="G195" s="31"/>
      <c r="H195" s="31"/>
      <c r="I195" s="31"/>
      <c r="J195" s="31"/>
      <c r="K195" s="31"/>
      <c r="L195" s="31"/>
    </row>
    <row r="196" ht="15.75" customHeight="1">
      <c r="A196" s="31"/>
      <c r="B196" s="31"/>
      <c r="C196" s="31"/>
      <c r="D196" s="31"/>
      <c r="E196" s="31"/>
      <c r="F196" s="31"/>
      <c r="G196" s="31"/>
      <c r="H196" s="31"/>
      <c r="I196" s="31"/>
      <c r="J196" s="31"/>
      <c r="K196" s="31"/>
      <c r="L196" s="31"/>
    </row>
    <row r="197" ht="15.75" customHeight="1">
      <c r="A197" s="31"/>
      <c r="B197" s="31"/>
      <c r="C197" s="31"/>
      <c r="D197" s="31"/>
      <c r="E197" s="31"/>
      <c r="F197" s="31"/>
      <c r="G197" s="31"/>
      <c r="H197" s="31"/>
      <c r="I197" s="31"/>
      <c r="J197" s="31"/>
      <c r="K197" s="31"/>
      <c r="L197" s="31"/>
    </row>
    <row r="198" ht="15.75" customHeight="1">
      <c r="A198" s="31"/>
      <c r="B198" s="31"/>
      <c r="C198" s="31"/>
      <c r="D198" s="31"/>
      <c r="E198" s="31"/>
      <c r="F198" s="31"/>
      <c r="G198" s="31"/>
      <c r="H198" s="31"/>
      <c r="I198" s="31"/>
      <c r="J198" s="31"/>
      <c r="K198" s="31"/>
      <c r="L198" s="31"/>
    </row>
    <row r="199" ht="15.75" customHeight="1">
      <c r="A199" s="31"/>
      <c r="B199" s="31"/>
      <c r="C199" s="31"/>
      <c r="D199" s="31"/>
      <c r="E199" s="31"/>
      <c r="F199" s="31"/>
      <c r="G199" s="31"/>
      <c r="H199" s="31"/>
      <c r="I199" s="31"/>
      <c r="J199" s="31"/>
      <c r="K199" s="31"/>
      <c r="L199" s="31"/>
    </row>
    <row r="200" ht="15.75" customHeight="1">
      <c r="A200" s="31"/>
      <c r="B200" s="31"/>
      <c r="C200" s="31"/>
      <c r="D200" s="31"/>
      <c r="E200" s="31"/>
      <c r="F200" s="31"/>
      <c r="G200" s="31"/>
      <c r="H200" s="31"/>
      <c r="I200" s="31"/>
      <c r="J200" s="31"/>
      <c r="K200" s="31"/>
      <c r="L200" s="31"/>
    </row>
    <row r="201" ht="15.75" customHeight="1">
      <c r="A201" s="31"/>
      <c r="B201" s="31"/>
      <c r="C201" s="31"/>
      <c r="D201" s="31"/>
      <c r="E201" s="31"/>
      <c r="F201" s="31"/>
      <c r="G201" s="31"/>
      <c r="H201" s="31"/>
      <c r="I201" s="31"/>
      <c r="J201" s="31"/>
      <c r="K201" s="31"/>
      <c r="L201" s="31"/>
    </row>
    <row r="202" ht="15.75" customHeight="1">
      <c r="A202" s="31"/>
      <c r="B202" s="31"/>
      <c r="C202" s="31"/>
      <c r="D202" s="31"/>
      <c r="E202" s="31"/>
      <c r="F202" s="31"/>
      <c r="G202" s="31"/>
      <c r="H202" s="31"/>
      <c r="I202" s="31"/>
      <c r="J202" s="31"/>
      <c r="K202" s="31"/>
      <c r="L202" s="31"/>
    </row>
    <row r="203" ht="15.75" customHeight="1">
      <c r="A203" s="31"/>
      <c r="B203" s="31"/>
      <c r="C203" s="31"/>
      <c r="D203" s="31"/>
      <c r="E203" s="31"/>
      <c r="F203" s="31"/>
      <c r="G203" s="31"/>
      <c r="H203" s="31"/>
      <c r="I203" s="31"/>
      <c r="J203" s="31"/>
      <c r="K203" s="31"/>
      <c r="L203" s="31"/>
    </row>
    <row r="204" ht="15.75" customHeight="1">
      <c r="A204" s="31"/>
      <c r="B204" s="31"/>
      <c r="C204" s="31"/>
      <c r="D204" s="31"/>
      <c r="E204" s="31"/>
      <c r="F204" s="31"/>
      <c r="G204" s="31"/>
      <c r="H204" s="31"/>
      <c r="I204" s="31"/>
      <c r="J204" s="31"/>
      <c r="K204" s="31"/>
      <c r="L204" s="31"/>
    </row>
    <row r="205" ht="15.75" customHeight="1">
      <c r="A205" s="31"/>
      <c r="B205" s="31"/>
      <c r="C205" s="31"/>
      <c r="D205" s="31"/>
      <c r="E205" s="31"/>
      <c r="F205" s="31"/>
      <c r="G205" s="31"/>
      <c r="H205" s="31"/>
      <c r="I205" s="31"/>
      <c r="J205" s="31"/>
      <c r="K205" s="31"/>
      <c r="L205" s="31"/>
    </row>
    <row r="206" ht="15.75" customHeight="1">
      <c r="A206" s="31"/>
      <c r="B206" s="31"/>
      <c r="C206" s="31"/>
      <c r="D206" s="31"/>
      <c r="E206" s="31"/>
      <c r="F206" s="31"/>
      <c r="G206" s="31"/>
      <c r="H206" s="31"/>
      <c r="I206" s="31"/>
      <c r="J206" s="31"/>
      <c r="K206" s="31"/>
      <c r="L206" s="31"/>
    </row>
    <row r="207" ht="15.75" customHeight="1">
      <c r="A207" s="31"/>
      <c r="B207" s="31"/>
      <c r="C207" s="31"/>
      <c r="D207" s="31"/>
      <c r="E207" s="31"/>
      <c r="F207" s="31"/>
      <c r="G207" s="31"/>
      <c r="H207" s="31"/>
      <c r="I207" s="31"/>
      <c r="J207" s="31"/>
      <c r="K207" s="31"/>
      <c r="L207" s="31"/>
    </row>
    <row r="208" ht="15.75" customHeight="1">
      <c r="A208" s="31"/>
      <c r="B208" s="31"/>
      <c r="C208" s="31"/>
      <c r="D208" s="31"/>
      <c r="E208" s="31"/>
      <c r="F208" s="31"/>
      <c r="G208" s="31"/>
      <c r="H208" s="31"/>
      <c r="I208" s="31"/>
      <c r="J208" s="31"/>
      <c r="K208" s="31"/>
      <c r="L208" s="31"/>
    </row>
    <row r="209" ht="15.75" customHeight="1">
      <c r="A209" s="31"/>
      <c r="B209" s="31"/>
      <c r="C209" s="31"/>
      <c r="D209" s="31"/>
      <c r="E209" s="31"/>
      <c r="F209" s="31"/>
      <c r="G209" s="31"/>
      <c r="H209" s="31"/>
      <c r="I209" s="31"/>
      <c r="J209" s="31"/>
      <c r="K209" s="31"/>
      <c r="L209" s="31"/>
    </row>
    <row r="210" ht="15.75" customHeight="1">
      <c r="A210" s="31"/>
      <c r="B210" s="31"/>
      <c r="C210" s="31"/>
      <c r="D210" s="31"/>
      <c r="E210" s="31"/>
      <c r="F210" s="31"/>
      <c r="G210" s="31"/>
      <c r="H210" s="31"/>
      <c r="I210" s="31"/>
      <c r="J210" s="31"/>
      <c r="K210" s="31"/>
      <c r="L210" s="31"/>
    </row>
    <row r="211" ht="15.75" customHeight="1">
      <c r="A211" s="31"/>
      <c r="B211" s="31"/>
      <c r="C211" s="31"/>
      <c r="D211" s="31"/>
      <c r="E211" s="31"/>
      <c r="F211" s="31"/>
      <c r="G211" s="31"/>
      <c r="H211" s="31"/>
      <c r="I211" s="31"/>
      <c r="J211" s="31"/>
      <c r="K211" s="31"/>
      <c r="L211" s="31"/>
    </row>
    <row r="212" ht="15.75" customHeight="1">
      <c r="A212" s="31"/>
      <c r="B212" s="31"/>
      <c r="C212" s="31"/>
      <c r="D212" s="31"/>
      <c r="E212" s="31"/>
      <c r="F212" s="31"/>
      <c r="G212" s="31"/>
      <c r="H212" s="31"/>
      <c r="I212" s="31"/>
      <c r="J212" s="31"/>
      <c r="K212" s="31"/>
      <c r="L212" s="31"/>
    </row>
    <row r="213" ht="15.75" customHeight="1">
      <c r="A213" s="31"/>
      <c r="B213" s="31"/>
      <c r="C213" s="31"/>
      <c r="D213" s="31"/>
      <c r="E213" s="31"/>
      <c r="F213" s="31"/>
      <c r="G213" s="31"/>
      <c r="H213" s="31"/>
      <c r="I213" s="31"/>
      <c r="J213" s="31"/>
      <c r="K213" s="31"/>
      <c r="L213" s="31"/>
    </row>
    <row r="214" ht="15.75" customHeight="1">
      <c r="A214" s="31"/>
      <c r="B214" s="31"/>
      <c r="C214" s="31"/>
      <c r="D214" s="31"/>
      <c r="E214" s="31"/>
      <c r="F214" s="31"/>
      <c r="G214" s="31"/>
      <c r="H214" s="31"/>
      <c r="I214" s="31"/>
      <c r="J214" s="31"/>
      <c r="K214" s="31"/>
      <c r="L214" s="31"/>
    </row>
    <row r="215" ht="15.75" customHeight="1">
      <c r="A215" s="31"/>
      <c r="B215" s="31"/>
      <c r="C215" s="31"/>
      <c r="D215" s="31"/>
      <c r="E215" s="31"/>
      <c r="F215" s="31"/>
      <c r="G215" s="31"/>
      <c r="H215" s="31"/>
      <c r="I215" s="31"/>
      <c r="J215" s="31"/>
      <c r="K215" s="31"/>
      <c r="L215" s="31"/>
    </row>
    <row r="216" ht="15.75" customHeight="1">
      <c r="A216" s="31"/>
      <c r="B216" s="31"/>
      <c r="C216" s="31"/>
      <c r="D216" s="31"/>
      <c r="E216" s="31"/>
      <c r="F216" s="31"/>
      <c r="G216" s="31"/>
      <c r="H216" s="31"/>
      <c r="I216" s="31"/>
      <c r="J216" s="31"/>
      <c r="K216" s="31"/>
      <c r="L216" s="31"/>
    </row>
    <row r="217" ht="15.75" customHeight="1">
      <c r="A217" s="31"/>
      <c r="B217" s="31"/>
      <c r="C217" s="31"/>
      <c r="D217" s="31"/>
      <c r="E217" s="31"/>
      <c r="F217" s="31"/>
      <c r="G217" s="31"/>
      <c r="H217" s="31"/>
      <c r="I217" s="31"/>
      <c r="J217" s="31"/>
      <c r="K217" s="31"/>
      <c r="L217" s="31"/>
    </row>
    <row r="218" ht="15.75" customHeight="1">
      <c r="A218" s="31"/>
      <c r="B218" s="31"/>
      <c r="C218" s="31"/>
      <c r="D218" s="31"/>
      <c r="E218" s="31"/>
      <c r="F218" s="31"/>
      <c r="G218" s="31"/>
      <c r="H218" s="31"/>
      <c r="I218" s="31"/>
      <c r="J218" s="31"/>
      <c r="K218" s="31"/>
      <c r="L218" s="31"/>
    </row>
    <row r="219" ht="15.75" customHeight="1">
      <c r="A219" s="31"/>
      <c r="B219" s="31"/>
      <c r="C219" s="31"/>
      <c r="D219" s="31"/>
      <c r="E219" s="31"/>
      <c r="F219" s="31"/>
      <c r="G219" s="31"/>
      <c r="H219" s="31"/>
      <c r="I219" s="31"/>
      <c r="J219" s="31"/>
      <c r="K219" s="31"/>
      <c r="L219" s="31"/>
    </row>
    <row r="220" ht="15.75" customHeight="1">
      <c r="A220" s="31"/>
      <c r="B220" s="31"/>
      <c r="C220" s="31"/>
      <c r="D220" s="31"/>
      <c r="E220" s="31"/>
      <c r="F220" s="31"/>
      <c r="G220" s="31"/>
      <c r="H220" s="31"/>
      <c r="I220" s="31"/>
      <c r="J220" s="31"/>
      <c r="K220" s="31"/>
      <c r="L220" s="31"/>
    </row>
    <row r="221" ht="15.75" customHeight="1">
      <c r="A221" s="31"/>
      <c r="B221" s="31"/>
      <c r="C221" s="31"/>
      <c r="D221" s="31"/>
      <c r="E221" s="31"/>
      <c r="F221" s="31"/>
      <c r="G221" s="31"/>
      <c r="H221" s="31"/>
      <c r="I221" s="31"/>
      <c r="J221" s="31"/>
      <c r="K221" s="31"/>
      <c r="L221" s="31"/>
    </row>
    <row r="222" ht="15.75" customHeight="1">
      <c r="A222" s="31"/>
      <c r="B222" s="31"/>
      <c r="C222" s="31"/>
      <c r="D222" s="31"/>
      <c r="E222" s="31"/>
      <c r="F222" s="31"/>
      <c r="G222" s="31"/>
      <c r="H222" s="31"/>
      <c r="I222" s="31"/>
      <c r="J222" s="31"/>
      <c r="K222" s="31"/>
      <c r="L222" s="31"/>
    </row>
    <row r="223" ht="15.75" customHeight="1">
      <c r="A223" s="31"/>
      <c r="B223" s="31"/>
      <c r="C223" s="31"/>
      <c r="D223" s="31"/>
      <c r="E223" s="31"/>
      <c r="F223" s="31"/>
      <c r="G223" s="31"/>
      <c r="H223" s="31"/>
      <c r="I223" s="31"/>
      <c r="J223" s="31"/>
      <c r="K223" s="31"/>
      <c r="L223" s="31"/>
    </row>
    <row r="224" ht="15.75" customHeight="1">
      <c r="A224" s="31"/>
      <c r="B224" s="31"/>
      <c r="C224" s="31"/>
      <c r="D224" s="31"/>
      <c r="E224" s="31"/>
      <c r="F224" s="31"/>
      <c r="G224" s="31"/>
      <c r="H224" s="31"/>
      <c r="I224" s="31"/>
      <c r="J224" s="31"/>
      <c r="K224" s="31"/>
      <c r="L224" s="31"/>
    </row>
    <row r="225" ht="15.75" customHeight="1">
      <c r="A225" s="31"/>
      <c r="B225" s="31"/>
      <c r="C225" s="31"/>
      <c r="D225" s="31"/>
      <c r="E225" s="31"/>
      <c r="F225" s="31"/>
      <c r="G225" s="31"/>
      <c r="H225" s="31"/>
      <c r="I225" s="31"/>
      <c r="J225" s="31"/>
      <c r="K225" s="31"/>
      <c r="L225" s="31"/>
    </row>
    <row r="226" ht="15.75" customHeight="1">
      <c r="A226" s="31"/>
      <c r="B226" s="31"/>
      <c r="C226" s="31"/>
      <c r="D226" s="31"/>
      <c r="E226" s="31"/>
      <c r="F226" s="31"/>
      <c r="G226" s="31"/>
      <c r="H226" s="31"/>
      <c r="I226" s="31"/>
      <c r="J226" s="31"/>
      <c r="K226" s="31"/>
      <c r="L226" s="31"/>
    </row>
    <row r="227" ht="15.75" customHeight="1">
      <c r="A227" s="31"/>
      <c r="B227" s="31"/>
      <c r="C227" s="31"/>
      <c r="D227" s="31"/>
      <c r="E227" s="31"/>
      <c r="F227" s="31"/>
      <c r="G227" s="31"/>
      <c r="H227" s="31"/>
      <c r="I227" s="31"/>
      <c r="J227" s="31"/>
      <c r="K227" s="31"/>
      <c r="L227" s="31"/>
    </row>
    <row r="228" ht="15.75" customHeight="1">
      <c r="A228" s="31"/>
      <c r="B228" s="31"/>
      <c r="C228" s="31"/>
      <c r="D228" s="31"/>
      <c r="E228" s="31"/>
      <c r="F228" s="31"/>
      <c r="G228" s="31"/>
      <c r="H228" s="31"/>
      <c r="I228" s="31"/>
      <c r="J228" s="31"/>
      <c r="K228" s="31"/>
      <c r="L228" s="31"/>
    </row>
    <row r="229" ht="15.75" customHeight="1">
      <c r="A229" s="31"/>
      <c r="B229" s="31"/>
      <c r="C229" s="31"/>
      <c r="D229" s="31"/>
      <c r="E229" s="31"/>
      <c r="F229" s="31"/>
      <c r="G229" s="31"/>
      <c r="H229" s="31"/>
      <c r="I229" s="31"/>
      <c r="J229" s="31"/>
      <c r="K229" s="31"/>
      <c r="L229" s="31"/>
    </row>
    <row r="230" ht="15.75" customHeight="1">
      <c r="A230" s="31"/>
      <c r="B230" s="31"/>
      <c r="C230" s="31"/>
      <c r="D230" s="31"/>
      <c r="E230" s="31"/>
      <c r="F230" s="31"/>
      <c r="G230" s="31"/>
      <c r="H230" s="31"/>
      <c r="I230" s="31"/>
      <c r="J230" s="31"/>
      <c r="K230" s="31"/>
      <c r="L230" s="31"/>
    </row>
    <row r="231" ht="15.75" customHeight="1">
      <c r="A231" s="31"/>
      <c r="B231" s="31"/>
      <c r="C231" s="31"/>
      <c r="D231" s="31"/>
      <c r="E231" s="31"/>
      <c r="F231" s="31"/>
      <c r="G231" s="31"/>
      <c r="H231" s="31"/>
      <c r="I231" s="31"/>
      <c r="J231" s="31"/>
      <c r="K231" s="31"/>
      <c r="L231" s="31"/>
    </row>
    <row r="232" ht="15.75" customHeight="1">
      <c r="A232" s="31"/>
      <c r="B232" s="31"/>
      <c r="C232" s="31"/>
      <c r="D232" s="31"/>
      <c r="E232" s="31"/>
      <c r="F232" s="31"/>
      <c r="G232" s="31"/>
      <c r="H232" s="31"/>
      <c r="I232" s="31"/>
      <c r="J232" s="31"/>
      <c r="K232" s="31"/>
      <c r="L232" s="31"/>
    </row>
    <row r="233" ht="15.75" customHeight="1">
      <c r="A233" s="31"/>
      <c r="B233" s="31"/>
      <c r="C233" s="31"/>
      <c r="D233" s="31"/>
      <c r="E233" s="31"/>
      <c r="F233" s="31"/>
      <c r="G233" s="31"/>
      <c r="H233" s="31"/>
      <c r="I233" s="31"/>
      <c r="J233" s="31"/>
      <c r="K233" s="31"/>
      <c r="L233" s="31"/>
    </row>
    <row r="234" ht="15.75" customHeight="1">
      <c r="A234" s="31"/>
      <c r="B234" s="31"/>
      <c r="C234" s="31"/>
      <c r="D234" s="31"/>
      <c r="E234" s="31"/>
      <c r="F234" s="31"/>
      <c r="G234" s="31"/>
      <c r="H234" s="31"/>
      <c r="I234" s="31"/>
      <c r="J234" s="31"/>
      <c r="K234" s="31"/>
      <c r="L234" s="31"/>
    </row>
    <row r="235" ht="15.75" customHeight="1">
      <c r="A235" s="31"/>
      <c r="B235" s="31"/>
      <c r="C235" s="31"/>
      <c r="D235" s="31"/>
      <c r="E235" s="31"/>
      <c r="F235" s="31"/>
      <c r="G235" s="31"/>
      <c r="H235" s="31"/>
      <c r="I235" s="31"/>
      <c r="J235" s="31"/>
      <c r="K235" s="31"/>
      <c r="L235" s="31"/>
    </row>
    <row r="236" ht="15.75" customHeight="1">
      <c r="A236" s="31"/>
      <c r="B236" s="31"/>
      <c r="C236" s="31"/>
      <c r="D236" s="31"/>
      <c r="E236" s="31"/>
      <c r="F236" s="31"/>
      <c r="G236" s="31"/>
      <c r="H236" s="31"/>
      <c r="I236" s="31"/>
      <c r="J236" s="31"/>
      <c r="K236" s="31"/>
      <c r="L236" s="31"/>
    </row>
    <row r="237" ht="15.75" customHeight="1">
      <c r="A237" s="31"/>
      <c r="B237" s="31"/>
      <c r="C237" s="31"/>
      <c r="D237" s="31"/>
      <c r="E237" s="31"/>
      <c r="F237" s="31"/>
      <c r="G237" s="31"/>
      <c r="H237" s="31"/>
      <c r="I237" s="31"/>
      <c r="J237" s="31"/>
      <c r="K237" s="31"/>
      <c r="L237" s="31"/>
    </row>
    <row r="238" ht="15.75" customHeight="1">
      <c r="A238" s="31"/>
      <c r="B238" s="31"/>
      <c r="C238" s="31"/>
      <c r="D238" s="31"/>
      <c r="E238" s="31"/>
      <c r="F238" s="31"/>
      <c r="G238" s="31"/>
      <c r="H238" s="31"/>
      <c r="I238" s="31"/>
      <c r="J238" s="31"/>
      <c r="K238" s="31"/>
      <c r="L238" s="31"/>
    </row>
    <row r="239" ht="15.75" customHeight="1">
      <c r="A239" s="31"/>
      <c r="B239" s="31"/>
      <c r="C239" s="31"/>
      <c r="D239" s="31"/>
      <c r="E239" s="31"/>
      <c r="F239" s="31"/>
      <c r="G239" s="31"/>
      <c r="H239" s="31"/>
      <c r="I239" s="31"/>
      <c r="J239" s="31"/>
      <c r="K239" s="31"/>
      <c r="L239" s="31"/>
    </row>
    <row r="240" ht="15.75" customHeight="1">
      <c r="A240" s="31"/>
      <c r="B240" s="31"/>
      <c r="C240" s="31"/>
      <c r="D240" s="31"/>
      <c r="E240" s="31"/>
      <c r="F240" s="31"/>
      <c r="G240" s="31"/>
      <c r="H240" s="31"/>
      <c r="I240" s="31"/>
      <c r="J240" s="31"/>
      <c r="K240" s="31"/>
      <c r="L240" s="31"/>
    </row>
    <row r="241" ht="15.75" customHeight="1">
      <c r="A241" s="31"/>
      <c r="B241" s="31"/>
      <c r="C241" s="31"/>
      <c r="D241" s="31"/>
      <c r="E241" s="31"/>
      <c r="F241" s="31"/>
      <c r="G241" s="31"/>
      <c r="H241" s="31"/>
      <c r="I241" s="31"/>
      <c r="J241" s="31"/>
      <c r="K241" s="31"/>
      <c r="L241" s="31"/>
    </row>
    <row r="242" ht="15.75" customHeight="1">
      <c r="A242" s="31"/>
      <c r="B242" s="31"/>
      <c r="C242" s="31"/>
      <c r="D242" s="31"/>
      <c r="E242" s="31"/>
      <c r="F242" s="31"/>
      <c r="G242" s="31"/>
      <c r="H242" s="31"/>
      <c r="I242" s="31"/>
      <c r="J242" s="31"/>
      <c r="K242" s="31"/>
      <c r="L242" s="31"/>
    </row>
    <row r="243" ht="15.75" customHeight="1">
      <c r="A243" s="31"/>
      <c r="B243" s="31"/>
      <c r="C243" s="31"/>
      <c r="D243" s="31"/>
      <c r="E243" s="31"/>
      <c r="F243" s="31"/>
      <c r="G243" s="31"/>
      <c r="H243" s="31"/>
      <c r="I243" s="31"/>
      <c r="J243" s="31"/>
      <c r="K243" s="31"/>
      <c r="L243" s="31"/>
    </row>
    <row r="244" ht="15.75" customHeight="1">
      <c r="A244" s="31"/>
      <c r="B244" s="31"/>
      <c r="C244" s="31"/>
      <c r="D244" s="31"/>
      <c r="E244" s="31"/>
      <c r="F244" s="31"/>
      <c r="G244" s="31"/>
      <c r="H244" s="31"/>
      <c r="I244" s="31"/>
      <c r="J244" s="31"/>
      <c r="K244" s="31"/>
      <c r="L244" s="31"/>
    </row>
    <row r="245" ht="15.75" customHeight="1">
      <c r="A245" s="31"/>
      <c r="B245" s="31"/>
      <c r="C245" s="31"/>
      <c r="D245" s="31"/>
      <c r="E245" s="31"/>
      <c r="F245" s="31"/>
      <c r="G245" s="31"/>
      <c r="H245" s="31"/>
      <c r="I245" s="31"/>
      <c r="J245" s="31"/>
      <c r="K245" s="31"/>
      <c r="L245" s="31"/>
    </row>
    <row r="246" ht="15.75" customHeight="1">
      <c r="A246" s="31"/>
      <c r="B246" s="31"/>
      <c r="C246" s="31"/>
      <c r="D246" s="31"/>
      <c r="E246" s="31"/>
      <c r="F246" s="31"/>
      <c r="G246" s="31"/>
      <c r="H246" s="31"/>
      <c r="I246" s="31"/>
      <c r="J246" s="31"/>
      <c r="K246" s="31"/>
      <c r="L246" s="31"/>
    </row>
    <row r="247" ht="15.75" customHeight="1">
      <c r="A247" s="31"/>
      <c r="B247" s="31"/>
      <c r="C247" s="31"/>
      <c r="D247" s="31"/>
      <c r="E247" s="31"/>
      <c r="F247" s="31"/>
      <c r="G247" s="31"/>
      <c r="H247" s="31"/>
      <c r="I247" s="31"/>
      <c r="J247" s="31"/>
      <c r="K247" s="31"/>
      <c r="L247" s="31"/>
    </row>
    <row r="248" ht="15.75" customHeight="1">
      <c r="A248" s="31"/>
      <c r="B248" s="31"/>
      <c r="C248" s="31"/>
      <c r="D248" s="31"/>
      <c r="E248" s="31"/>
      <c r="F248" s="31"/>
      <c r="G248" s="31"/>
      <c r="H248" s="31"/>
      <c r="I248" s="31"/>
      <c r="J248" s="31"/>
      <c r="K248" s="31"/>
      <c r="L248" s="31"/>
    </row>
    <row r="249" ht="15.75" customHeight="1">
      <c r="A249" s="31"/>
      <c r="B249" s="31"/>
      <c r="C249" s="31"/>
      <c r="D249" s="31"/>
      <c r="E249" s="31"/>
      <c r="F249" s="31"/>
      <c r="G249" s="31"/>
      <c r="H249" s="31"/>
      <c r="I249" s="31"/>
      <c r="J249" s="31"/>
      <c r="K249" s="31"/>
      <c r="L249" s="31"/>
    </row>
    <row r="250" ht="15.75" customHeight="1">
      <c r="A250" s="31"/>
      <c r="B250" s="31"/>
      <c r="C250" s="31"/>
      <c r="D250" s="31"/>
      <c r="E250" s="31"/>
      <c r="F250" s="31"/>
      <c r="G250" s="31"/>
      <c r="H250" s="31"/>
      <c r="I250" s="31"/>
      <c r="J250" s="31"/>
      <c r="K250" s="31"/>
      <c r="L250" s="31"/>
    </row>
    <row r="251" ht="15.75" customHeight="1">
      <c r="A251" s="31"/>
      <c r="B251" s="31"/>
      <c r="C251" s="31"/>
      <c r="D251" s="31"/>
      <c r="E251" s="31"/>
      <c r="F251" s="31"/>
      <c r="G251" s="31"/>
      <c r="H251" s="31"/>
      <c r="I251" s="31"/>
      <c r="J251" s="31"/>
      <c r="K251" s="31"/>
      <c r="L251" s="31"/>
    </row>
    <row r="252" ht="15.75" customHeight="1">
      <c r="A252" s="31"/>
      <c r="B252" s="31"/>
      <c r="C252" s="31"/>
      <c r="D252" s="31"/>
      <c r="E252" s="31"/>
      <c r="F252" s="31"/>
      <c r="G252" s="31"/>
      <c r="H252" s="31"/>
      <c r="I252" s="31"/>
      <c r="J252" s="31"/>
      <c r="K252" s="31"/>
      <c r="L252" s="31"/>
    </row>
    <row r="253" ht="15.75" customHeight="1">
      <c r="A253" s="31"/>
      <c r="B253" s="31"/>
      <c r="C253" s="31"/>
      <c r="D253" s="31"/>
      <c r="E253" s="31"/>
      <c r="F253" s="31"/>
      <c r="G253" s="31"/>
      <c r="H253" s="31"/>
      <c r="I253" s="31"/>
      <c r="J253" s="31"/>
      <c r="K253" s="31"/>
      <c r="L253" s="31"/>
    </row>
    <row r="254" ht="15.75" customHeight="1">
      <c r="A254" s="31"/>
      <c r="B254" s="31"/>
      <c r="C254" s="31"/>
      <c r="D254" s="31"/>
      <c r="E254" s="31"/>
      <c r="F254" s="31"/>
      <c r="G254" s="31"/>
      <c r="H254" s="31"/>
      <c r="I254" s="31"/>
      <c r="J254" s="31"/>
      <c r="K254" s="31"/>
      <c r="L254" s="31"/>
    </row>
    <row r="255" ht="15.75" customHeight="1">
      <c r="A255" s="31"/>
      <c r="B255" s="31"/>
      <c r="C255" s="31"/>
      <c r="D255" s="31"/>
      <c r="E255" s="31"/>
      <c r="F255" s="31"/>
      <c r="G255" s="31"/>
      <c r="H255" s="31"/>
      <c r="I255" s="31"/>
      <c r="J255" s="31"/>
      <c r="K255" s="31"/>
      <c r="L255" s="31"/>
    </row>
    <row r="256" ht="15.75" customHeight="1">
      <c r="A256" s="31"/>
      <c r="B256" s="31"/>
      <c r="C256" s="31"/>
      <c r="D256" s="31"/>
      <c r="E256" s="31"/>
      <c r="F256" s="31"/>
      <c r="G256" s="31"/>
      <c r="H256" s="31"/>
      <c r="I256" s="31"/>
      <c r="J256" s="31"/>
      <c r="K256" s="31"/>
      <c r="L256" s="31"/>
    </row>
    <row r="257" ht="15.75" customHeight="1">
      <c r="A257" s="31"/>
      <c r="B257" s="31"/>
      <c r="C257" s="31"/>
      <c r="D257" s="31"/>
      <c r="E257" s="31"/>
      <c r="F257" s="31"/>
      <c r="G257" s="31"/>
      <c r="H257" s="31"/>
      <c r="I257" s="31"/>
      <c r="J257" s="31"/>
      <c r="K257" s="31"/>
      <c r="L257" s="31"/>
    </row>
    <row r="258" ht="15.75" customHeight="1">
      <c r="A258" s="31"/>
      <c r="B258" s="31"/>
      <c r="C258" s="31"/>
      <c r="D258" s="31"/>
      <c r="E258" s="31"/>
      <c r="F258" s="31"/>
      <c r="G258" s="31"/>
      <c r="H258" s="31"/>
      <c r="I258" s="31"/>
      <c r="J258" s="31"/>
      <c r="K258" s="31"/>
      <c r="L258" s="31"/>
    </row>
    <row r="259" ht="15.75" customHeight="1">
      <c r="A259" s="31"/>
      <c r="B259" s="31"/>
      <c r="C259" s="31"/>
      <c r="D259" s="31"/>
      <c r="E259" s="31"/>
      <c r="F259" s="31"/>
      <c r="G259" s="31"/>
      <c r="H259" s="31"/>
      <c r="I259" s="31"/>
      <c r="J259" s="31"/>
      <c r="K259" s="31"/>
      <c r="L259" s="31"/>
    </row>
    <row r="260" ht="15.75" customHeight="1">
      <c r="A260" s="31"/>
      <c r="B260" s="31"/>
      <c r="C260" s="31"/>
      <c r="D260" s="31"/>
      <c r="E260" s="31"/>
      <c r="F260" s="31"/>
      <c r="G260" s="31"/>
      <c r="H260" s="31"/>
      <c r="I260" s="31"/>
      <c r="J260" s="31"/>
      <c r="K260" s="31"/>
      <c r="L260" s="31"/>
    </row>
    <row r="261" ht="15.75" customHeight="1">
      <c r="A261" s="31"/>
      <c r="B261" s="31"/>
      <c r="C261" s="31"/>
      <c r="D261" s="31"/>
      <c r="E261" s="31"/>
      <c r="F261" s="31"/>
      <c r="G261" s="31"/>
      <c r="H261" s="31"/>
      <c r="I261" s="31"/>
      <c r="J261" s="31"/>
      <c r="K261" s="31"/>
      <c r="L261" s="31"/>
    </row>
    <row r="262" ht="15.75" customHeight="1">
      <c r="A262" s="31"/>
      <c r="B262" s="31"/>
      <c r="C262" s="31"/>
      <c r="D262" s="31"/>
      <c r="E262" s="31"/>
      <c r="F262" s="31"/>
      <c r="G262" s="31"/>
      <c r="H262" s="31"/>
      <c r="I262" s="31"/>
      <c r="J262" s="31"/>
      <c r="K262" s="31"/>
      <c r="L262" s="31"/>
    </row>
    <row r="263" ht="15.75" customHeight="1">
      <c r="A263" s="31"/>
      <c r="B263" s="31"/>
      <c r="C263" s="31"/>
      <c r="D263" s="31"/>
      <c r="E263" s="31"/>
      <c r="F263" s="31"/>
      <c r="G263" s="31"/>
      <c r="H263" s="31"/>
      <c r="I263" s="31"/>
      <c r="J263" s="31"/>
      <c r="K263" s="31"/>
      <c r="L263" s="31"/>
    </row>
    <row r="264" ht="15.75" customHeight="1">
      <c r="A264" s="31"/>
      <c r="B264" s="31"/>
      <c r="C264" s="31"/>
      <c r="D264" s="31"/>
      <c r="E264" s="31"/>
      <c r="F264" s="31"/>
      <c r="G264" s="31"/>
      <c r="H264" s="31"/>
      <c r="I264" s="31"/>
      <c r="J264" s="31"/>
      <c r="K264" s="31"/>
      <c r="L264" s="31"/>
    </row>
    <row r="265" ht="15.75" customHeight="1">
      <c r="A265" s="31"/>
      <c r="B265" s="31"/>
      <c r="C265" s="31"/>
      <c r="D265" s="31"/>
      <c r="E265" s="31"/>
      <c r="F265" s="31"/>
      <c r="G265" s="31"/>
      <c r="H265" s="31"/>
      <c r="I265" s="31"/>
      <c r="J265" s="31"/>
      <c r="K265" s="31"/>
      <c r="L265" s="31"/>
    </row>
    <row r="266" ht="15.75" customHeight="1">
      <c r="A266" s="31"/>
      <c r="B266" s="31"/>
      <c r="C266" s="31"/>
      <c r="D266" s="31"/>
      <c r="E266" s="31"/>
      <c r="F266" s="31"/>
      <c r="G266" s="31"/>
      <c r="H266" s="31"/>
      <c r="I266" s="31"/>
      <c r="J266" s="31"/>
      <c r="K266" s="31"/>
      <c r="L266" s="31"/>
    </row>
    <row r="267" ht="15.75" customHeight="1">
      <c r="A267" s="31"/>
      <c r="B267" s="31"/>
      <c r="C267" s="31"/>
      <c r="D267" s="31"/>
      <c r="E267" s="31"/>
      <c r="F267" s="31"/>
      <c r="G267" s="31"/>
      <c r="H267" s="31"/>
      <c r="I267" s="31"/>
      <c r="J267" s="31"/>
      <c r="K267" s="31"/>
      <c r="L267" s="31"/>
    </row>
    <row r="268" ht="15.75" customHeight="1">
      <c r="A268" s="31"/>
      <c r="B268" s="31"/>
      <c r="C268" s="31"/>
      <c r="D268" s="31"/>
      <c r="E268" s="31"/>
      <c r="F268" s="31"/>
      <c r="G268" s="31"/>
      <c r="H268" s="31"/>
      <c r="I268" s="31"/>
      <c r="J268" s="31"/>
      <c r="K268" s="31"/>
      <c r="L268" s="31"/>
    </row>
    <row r="269" ht="15.75" customHeight="1">
      <c r="A269" s="31"/>
      <c r="B269" s="31"/>
      <c r="C269" s="31"/>
      <c r="D269" s="31"/>
      <c r="E269" s="31"/>
      <c r="F269" s="31"/>
      <c r="G269" s="31"/>
      <c r="H269" s="31"/>
      <c r="I269" s="31"/>
      <c r="J269" s="31"/>
      <c r="K269" s="31"/>
      <c r="L269" s="31"/>
    </row>
    <row r="270" ht="15.75" customHeight="1">
      <c r="A270" s="31"/>
      <c r="B270" s="31"/>
      <c r="C270" s="31"/>
      <c r="D270" s="31"/>
      <c r="E270" s="31"/>
      <c r="F270" s="31"/>
      <c r="G270" s="31"/>
      <c r="H270" s="31"/>
      <c r="I270" s="31"/>
      <c r="J270" s="31"/>
      <c r="K270" s="31"/>
      <c r="L270" s="31"/>
    </row>
    <row r="271" ht="15.75" customHeight="1">
      <c r="A271" s="31"/>
      <c r="B271" s="31"/>
      <c r="C271" s="31"/>
      <c r="D271" s="31"/>
      <c r="E271" s="31"/>
      <c r="F271" s="31"/>
      <c r="G271" s="31"/>
      <c r="H271" s="31"/>
      <c r="I271" s="31"/>
      <c r="J271" s="31"/>
      <c r="K271" s="31"/>
      <c r="L271" s="31"/>
    </row>
    <row r="272" ht="15.75" customHeight="1">
      <c r="A272" s="31"/>
      <c r="B272" s="31"/>
      <c r="C272" s="31"/>
      <c r="D272" s="31"/>
      <c r="E272" s="31"/>
      <c r="F272" s="31"/>
      <c r="G272" s="31"/>
      <c r="H272" s="31"/>
      <c r="I272" s="31"/>
      <c r="J272" s="31"/>
      <c r="K272" s="31"/>
      <c r="L272" s="31"/>
    </row>
    <row r="273" ht="15.75" customHeight="1">
      <c r="A273" s="31"/>
      <c r="B273" s="31"/>
      <c r="C273" s="31"/>
      <c r="D273" s="31"/>
      <c r="E273" s="31"/>
      <c r="F273" s="31"/>
      <c r="G273" s="31"/>
      <c r="H273" s="31"/>
      <c r="I273" s="31"/>
      <c r="J273" s="31"/>
      <c r="K273" s="31"/>
      <c r="L273" s="31"/>
    </row>
    <row r="274" ht="15.75" customHeight="1">
      <c r="A274" s="31"/>
      <c r="B274" s="31"/>
      <c r="C274" s="31"/>
      <c r="D274" s="31"/>
      <c r="E274" s="31"/>
      <c r="F274" s="31"/>
      <c r="G274" s="31"/>
      <c r="H274" s="31"/>
      <c r="I274" s="31"/>
      <c r="J274" s="31"/>
      <c r="K274" s="31"/>
      <c r="L274" s="31"/>
    </row>
    <row r="275" ht="15.75" customHeight="1">
      <c r="A275" s="31"/>
      <c r="B275" s="31"/>
      <c r="C275" s="31"/>
      <c r="D275" s="31"/>
      <c r="E275" s="31"/>
      <c r="F275" s="31"/>
      <c r="G275" s="31"/>
      <c r="H275" s="31"/>
      <c r="I275" s="31"/>
      <c r="J275" s="31"/>
      <c r="K275" s="31"/>
      <c r="L275" s="31"/>
    </row>
    <row r="276" ht="15.75" customHeight="1">
      <c r="A276" s="31"/>
      <c r="B276" s="31"/>
      <c r="C276" s="31"/>
      <c r="D276" s="31"/>
      <c r="E276" s="31"/>
      <c r="F276" s="31"/>
      <c r="G276" s="31"/>
      <c r="H276" s="31"/>
      <c r="I276" s="31"/>
      <c r="J276" s="31"/>
      <c r="K276" s="31"/>
      <c r="L276" s="31"/>
    </row>
    <row r="277" ht="15.75" customHeight="1">
      <c r="A277" s="31"/>
      <c r="B277" s="31"/>
      <c r="C277" s="31"/>
      <c r="D277" s="31"/>
      <c r="E277" s="31"/>
      <c r="F277" s="31"/>
      <c r="G277" s="31"/>
      <c r="H277" s="31"/>
      <c r="I277" s="31"/>
      <c r="J277" s="31"/>
      <c r="K277" s="31"/>
      <c r="L277" s="31"/>
    </row>
    <row r="278" ht="15.75" customHeight="1">
      <c r="A278" s="31"/>
      <c r="B278" s="31"/>
      <c r="C278" s="31"/>
      <c r="D278" s="31"/>
      <c r="E278" s="31"/>
      <c r="F278" s="31"/>
      <c r="G278" s="31"/>
      <c r="H278" s="31"/>
      <c r="I278" s="31"/>
      <c r="J278" s="31"/>
      <c r="K278" s="31"/>
      <c r="L278" s="31"/>
    </row>
    <row r="279" ht="15.75" customHeight="1">
      <c r="A279" s="31"/>
      <c r="B279" s="31"/>
      <c r="C279" s="31"/>
      <c r="D279" s="31"/>
      <c r="E279" s="31"/>
      <c r="F279" s="31"/>
      <c r="G279" s="31"/>
      <c r="H279" s="31"/>
      <c r="I279" s="31"/>
      <c r="J279" s="31"/>
      <c r="K279" s="31"/>
      <c r="L279" s="31"/>
    </row>
    <row r="280" ht="15.75" customHeight="1">
      <c r="A280" s="31"/>
      <c r="B280" s="31"/>
      <c r="C280" s="31"/>
      <c r="D280" s="31"/>
      <c r="E280" s="31"/>
      <c r="F280" s="31"/>
      <c r="G280" s="31"/>
      <c r="H280" s="31"/>
      <c r="I280" s="31"/>
      <c r="J280" s="31"/>
      <c r="K280" s="31"/>
      <c r="L280" s="31"/>
    </row>
    <row r="281" ht="15.75" customHeight="1">
      <c r="A281" s="31"/>
      <c r="B281" s="31"/>
      <c r="C281" s="31"/>
      <c r="D281" s="31"/>
      <c r="E281" s="31"/>
      <c r="F281" s="31"/>
      <c r="G281" s="31"/>
      <c r="H281" s="31"/>
      <c r="I281" s="31"/>
      <c r="J281" s="31"/>
      <c r="K281" s="31"/>
      <c r="L281" s="31"/>
    </row>
    <row r="282" ht="15.75" customHeight="1">
      <c r="A282" s="31"/>
      <c r="B282" s="31"/>
      <c r="C282" s="31"/>
      <c r="D282" s="31"/>
      <c r="E282" s="31"/>
      <c r="F282" s="31"/>
      <c r="G282" s="31"/>
      <c r="H282" s="31"/>
      <c r="I282" s="31"/>
      <c r="J282" s="31"/>
      <c r="K282" s="31"/>
      <c r="L282" s="31"/>
    </row>
    <row r="283" ht="15.75" customHeight="1">
      <c r="A283" s="31"/>
      <c r="B283" s="31"/>
      <c r="C283" s="31"/>
      <c r="D283" s="31"/>
      <c r="E283" s="31"/>
      <c r="F283" s="31"/>
      <c r="G283" s="31"/>
      <c r="H283" s="31"/>
      <c r="I283" s="31"/>
      <c r="J283" s="31"/>
      <c r="K283" s="31"/>
      <c r="L283" s="31"/>
    </row>
    <row r="284" ht="15.75" customHeight="1">
      <c r="A284" s="31"/>
      <c r="B284" s="31"/>
      <c r="C284" s="31"/>
      <c r="D284" s="31"/>
      <c r="E284" s="31"/>
      <c r="F284" s="31"/>
      <c r="G284" s="31"/>
      <c r="H284" s="31"/>
      <c r="I284" s="31"/>
      <c r="J284" s="31"/>
      <c r="K284" s="31"/>
      <c r="L284" s="31"/>
    </row>
    <row r="285" ht="15.75" customHeight="1">
      <c r="A285" s="31"/>
      <c r="B285" s="31"/>
      <c r="C285" s="31"/>
      <c r="D285" s="31"/>
      <c r="E285" s="31"/>
      <c r="F285" s="31"/>
      <c r="G285" s="31"/>
      <c r="H285" s="31"/>
      <c r="I285" s="31"/>
      <c r="J285" s="31"/>
      <c r="K285" s="31"/>
      <c r="L285" s="31"/>
    </row>
    <row r="286" ht="15.75" customHeight="1">
      <c r="A286" s="31"/>
      <c r="B286" s="31"/>
      <c r="C286" s="31"/>
      <c r="D286" s="31"/>
      <c r="E286" s="31"/>
      <c r="F286" s="31"/>
      <c r="G286" s="31"/>
      <c r="H286" s="31"/>
      <c r="I286" s="31"/>
      <c r="J286" s="31"/>
      <c r="K286" s="31"/>
      <c r="L286" s="31"/>
    </row>
    <row r="287" ht="15.75" customHeight="1">
      <c r="A287" s="31"/>
      <c r="B287" s="31"/>
      <c r="C287" s="31"/>
      <c r="D287" s="31"/>
      <c r="E287" s="31"/>
      <c r="F287" s="31"/>
      <c r="G287" s="31"/>
      <c r="H287" s="31"/>
      <c r="I287" s="31"/>
      <c r="J287" s="31"/>
      <c r="K287" s="31"/>
      <c r="L287" s="31"/>
    </row>
    <row r="288" ht="15.75" customHeight="1">
      <c r="A288" s="31"/>
      <c r="B288" s="31"/>
      <c r="C288" s="31"/>
      <c r="D288" s="31"/>
      <c r="E288" s="31"/>
      <c r="F288" s="31"/>
      <c r="G288" s="31"/>
      <c r="H288" s="31"/>
      <c r="I288" s="31"/>
      <c r="J288" s="31"/>
      <c r="K288" s="31"/>
      <c r="L288" s="31"/>
    </row>
    <row r="289" ht="15.75" customHeight="1">
      <c r="A289" s="31"/>
      <c r="B289" s="31"/>
      <c r="C289" s="31"/>
      <c r="D289" s="31"/>
      <c r="E289" s="31"/>
      <c r="F289" s="31"/>
      <c r="G289" s="31"/>
      <c r="H289" s="31"/>
      <c r="I289" s="31"/>
      <c r="J289" s="31"/>
      <c r="K289" s="31"/>
      <c r="L289" s="31"/>
    </row>
    <row r="290" ht="15.75" customHeight="1">
      <c r="A290" s="31"/>
      <c r="B290" s="31"/>
      <c r="C290" s="31"/>
      <c r="D290" s="31"/>
      <c r="E290" s="31"/>
      <c r="F290" s="31"/>
      <c r="G290" s="31"/>
      <c r="H290" s="31"/>
      <c r="I290" s="31"/>
      <c r="J290" s="31"/>
      <c r="K290" s="31"/>
      <c r="L290" s="31"/>
    </row>
    <row r="291" ht="15.75" customHeight="1">
      <c r="A291" s="31"/>
      <c r="B291" s="31"/>
      <c r="C291" s="31"/>
      <c r="D291" s="31"/>
      <c r="E291" s="31"/>
      <c r="F291" s="31"/>
      <c r="G291" s="31"/>
      <c r="H291" s="31"/>
      <c r="I291" s="31"/>
      <c r="J291" s="31"/>
      <c r="K291" s="31"/>
      <c r="L291" s="31"/>
    </row>
    <row r="292" ht="15.75" customHeight="1">
      <c r="A292" s="31"/>
      <c r="B292" s="31"/>
      <c r="C292" s="31"/>
      <c r="D292" s="31"/>
      <c r="E292" s="31"/>
      <c r="F292" s="31"/>
      <c r="G292" s="31"/>
      <c r="H292" s="31"/>
      <c r="I292" s="31"/>
      <c r="J292" s="31"/>
      <c r="K292" s="31"/>
      <c r="L292" s="31"/>
    </row>
    <row r="293" ht="15.75" customHeight="1">
      <c r="A293" s="31"/>
      <c r="B293" s="31"/>
      <c r="C293" s="31"/>
      <c r="D293" s="31"/>
      <c r="E293" s="31"/>
      <c r="F293" s="31"/>
      <c r="G293" s="31"/>
      <c r="H293" s="31"/>
      <c r="I293" s="31"/>
      <c r="J293" s="31"/>
      <c r="K293" s="31"/>
      <c r="L293" s="31"/>
    </row>
    <row r="294" ht="15.75" customHeight="1">
      <c r="A294" s="31"/>
      <c r="B294" s="31"/>
      <c r="C294" s="31"/>
      <c r="D294" s="31"/>
      <c r="E294" s="31"/>
      <c r="F294" s="31"/>
      <c r="G294" s="31"/>
      <c r="H294" s="31"/>
      <c r="I294" s="31"/>
      <c r="J294" s="31"/>
      <c r="K294" s="31"/>
      <c r="L294" s="31"/>
    </row>
    <row r="295" ht="15.75" customHeight="1">
      <c r="A295" s="31"/>
      <c r="B295" s="31"/>
      <c r="C295" s="31"/>
      <c r="D295" s="31"/>
      <c r="E295" s="31"/>
      <c r="F295" s="31"/>
      <c r="G295" s="31"/>
      <c r="H295" s="31"/>
      <c r="I295" s="31"/>
      <c r="J295" s="31"/>
      <c r="K295" s="31"/>
      <c r="L295" s="31"/>
    </row>
    <row r="296" ht="15.75" customHeight="1">
      <c r="A296" s="31"/>
      <c r="B296" s="31"/>
      <c r="C296" s="31"/>
      <c r="D296" s="31"/>
      <c r="E296" s="31"/>
      <c r="F296" s="31"/>
      <c r="G296" s="31"/>
      <c r="H296" s="31"/>
      <c r="I296" s="31"/>
      <c r="J296" s="31"/>
      <c r="K296" s="31"/>
      <c r="L296" s="31"/>
    </row>
    <row r="297" ht="15.75" customHeight="1">
      <c r="A297" s="31"/>
      <c r="B297" s="31"/>
      <c r="C297" s="31"/>
      <c r="D297" s="31"/>
      <c r="E297" s="31"/>
      <c r="F297" s="31"/>
      <c r="G297" s="31"/>
      <c r="H297" s="31"/>
      <c r="I297" s="31"/>
      <c r="J297" s="31"/>
      <c r="K297" s="31"/>
      <c r="L297" s="31"/>
    </row>
    <row r="298" ht="15.75" customHeight="1">
      <c r="A298" s="31"/>
      <c r="B298" s="31"/>
      <c r="C298" s="31"/>
      <c r="D298" s="31"/>
      <c r="E298" s="31"/>
      <c r="F298" s="31"/>
      <c r="G298" s="31"/>
      <c r="H298" s="31"/>
      <c r="I298" s="31"/>
      <c r="J298" s="31"/>
      <c r="K298" s="31"/>
      <c r="L298" s="31"/>
    </row>
    <row r="299" ht="15.75" customHeight="1">
      <c r="A299" s="31"/>
      <c r="B299" s="31"/>
      <c r="C299" s="31"/>
      <c r="D299" s="31"/>
      <c r="E299" s="31"/>
      <c r="F299" s="31"/>
      <c r="G299" s="31"/>
      <c r="H299" s="31"/>
      <c r="I299" s="31"/>
      <c r="J299" s="31"/>
      <c r="K299" s="31"/>
      <c r="L299" s="31"/>
    </row>
    <row r="300" ht="15.75" customHeight="1">
      <c r="A300" s="31"/>
      <c r="B300" s="31"/>
      <c r="C300" s="31"/>
      <c r="D300" s="31"/>
      <c r="E300" s="31"/>
      <c r="F300" s="31"/>
      <c r="G300" s="31"/>
      <c r="H300" s="31"/>
      <c r="I300" s="31"/>
      <c r="J300" s="31"/>
      <c r="K300" s="31"/>
      <c r="L300" s="31"/>
    </row>
    <row r="301" ht="15.75" customHeight="1">
      <c r="A301" s="31"/>
      <c r="B301" s="31"/>
      <c r="C301" s="31"/>
      <c r="D301" s="31"/>
      <c r="E301" s="31"/>
      <c r="F301" s="31"/>
      <c r="G301" s="31"/>
      <c r="H301" s="31"/>
      <c r="I301" s="31"/>
      <c r="J301" s="31"/>
      <c r="K301" s="31"/>
      <c r="L301" s="31"/>
    </row>
    <row r="302" ht="15.75" customHeight="1">
      <c r="A302" s="31"/>
      <c r="B302" s="31"/>
      <c r="C302" s="31"/>
      <c r="D302" s="31"/>
      <c r="E302" s="31"/>
      <c r="F302" s="31"/>
      <c r="G302" s="31"/>
      <c r="H302" s="31"/>
      <c r="I302" s="31"/>
      <c r="J302" s="31"/>
      <c r="K302" s="31"/>
      <c r="L302" s="31"/>
    </row>
    <row r="303" ht="15.75" customHeight="1">
      <c r="A303" s="31"/>
      <c r="B303" s="31"/>
      <c r="C303" s="31"/>
      <c r="D303" s="31"/>
      <c r="E303" s="31"/>
      <c r="F303" s="31"/>
      <c r="G303" s="31"/>
      <c r="H303" s="31"/>
      <c r="I303" s="31"/>
      <c r="J303" s="31"/>
      <c r="K303" s="31"/>
      <c r="L303" s="31"/>
    </row>
    <row r="304" ht="15.75" customHeight="1">
      <c r="A304" s="31"/>
      <c r="B304" s="31"/>
      <c r="C304" s="31"/>
      <c r="D304" s="31"/>
      <c r="E304" s="31"/>
      <c r="F304" s="31"/>
      <c r="G304" s="31"/>
      <c r="H304" s="31"/>
      <c r="I304" s="31"/>
      <c r="J304" s="31"/>
      <c r="K304" s="31"/>
      <c r="L304" s="31"/>
    </row>
    <row r="305" ht="15.75" customHeight="1">
      <c r="A305" s="31"/>
      <c r="B305" s="31"/>
      <c r="C305" s="31"/>
      <c r="D305" s="31"/>
      <c r="E305" s="31"/>
      <c r="F305" s="31"/>
      <c r="G305" s="31"/>
      <c r="H305" s="31"/>
      <c r="I305" s="31"/>
      <c r="J305" s="31"/>
      <c r="K305" s="31"/>
      <c r="L305" s="31"/>
    </row>
    <row r="306" ht="15.75" customHeight="1">
      <c r="A306" s="31"/>
      <c r="B306" s="31"/>
      <c r="C306" s="31"/>
      <c r="D306" s="31"/>
      <c r="E306" s="31"/>
      <c r="F306" s="31"/>
      <c r="G306" s="31"/>
      <c r="H306" s="31"/>
      <c r="I306" s="31"/>
      <c r="J306" s="31"/>
      <c r="K306" s="31"/>
      <c r="L306" s="31"/>
    </row>
    <row r="307" ht="15.75" customHeight="1">
      <c r="A307" s="31"/>
      <c r="B307" s="31"/>
      <c r="C307" s="31"/>
      <c r="D307" s="31"/>
      <c r="E307" s="31"/>
      <c r="F307" s="31"/>
      <c r="G307" s="31"/>
      <c r="H307" s="31"/>
      <c r="I307" s="31"/>
      <c r="J307" s="31"/>
      <c r="K307" s="31"/>
      <c r="L307" s="31"/>
    </row>
    <row r="308" ht="15.75" customHeight="1">
      <c r="A308" s="31"/>
      <c r="B308" s="31"/>
      <c r="C308" s="31"/>
      <c r="D308" s="31"/>
      <c r="E308" s="31"/>
      <c r="F308" s="31"/>
      <c r="G308" s="31"/>
      <c r="H308" s="31"/>
      <c r="I308" s="31"/>
      <c r="J308" s="31"/>
      <c r="K308" s="31"/>
      <c r="L308" s="31"/>
    </row>
    <row r="309" ht="15.75" customHeight="1">
      <c r="A309" s="31"/>
      <c r="B309" s="31"/>
      <c r="C309" s="31"/>
      <c r="D309" s="31"/>
      <c r="E309" s="31"/>
      <c r="F309" s="31"/>
      <c r="G309" s="31"/>
      <c r="H309" s="31"/>
      <c r="I309" s="31"/>
      <c r="J309" s="31"/>
      <c r="K309" s="31"/>
      <c r="L309" s="31"/>
    </row>
    <row r="310" ht="15.75" customHeight="1">
      <c r="A310" s="31"/>
      <c r="B310" s="31"/>
      <c r="C310" s="31"/>
      <c r="D310" s="31"/>
      <c r="E310" s="31"/>
      <c r="F310" s="31"/>
      <c r="G310" s="31"/>
      <c r="H310" s="31"/>
      <c r="I310" s="31"/>
      <c r="J310" s="31"/>
      <c r="K310" s="31"/>
      <c r="L310" s="31"/>
    </row>
    <row r="311" ht="15.75" customHeight="1">
      <c r="A311" s="31"/>
      <c r="B311" s="31"/>
      <c r="C311" s="31"/>
      <c r="D311" s="31"/>
      <c r="E311" s="31"/>
      <c r="F311" s="31"/>
      <c r="G311" s="31"/>
      <c r="H311" s="31"/>
      <c r="I311" s="31"/>
      <c r="J311" s="31"/>
      <c r="K311" s="31"/>
      <c r="L311" s="31"/>
    </row>
    <row r="312" ht="15.75" customHeight="1">
      <c r="A312" s="31"/>
      <c r="B312" s="31"/>
      <c r="C312" s="31"/>
      <c r="D312" s="31"/>
      <c r="E312" s="31"/>
      <c r="F312" s="31"/>
      <c r="G312" s="31"/>
      <c r="H312" s="31"/>
      <c r="I312" s="31"/>
      <c r="J312" s="31"/>
      <c r="K312" s="31"/>
      <c r="L312" s="31"/>
    </row>
    <row r="313" ht="15.75" customHeight="1">
      <c r="A313" s="31"/>
      <c r="B313" s="31"/>
      <c r="C313" s="31"/>
      <c r="D313" s="31"/>
      <c r="E313" s="31"/>
      <c r="F313" s="31"/>
      <c r="G313" s="31"/>
      <c r="H313" s="31"/>
      <c r="I313" s="31"/>
      <c r="J313" s="31"/>
      <c r="K313" s="31"/>
      <c r="L313" s="31"/>
    </row>
    <row r="314" ht="15.75" customHeight="1">
      <c r="A314" s="31"/>
      <c r="B314" s="31"/>
      <c r="C314" s="31"/>
      <c r="D314" s="31"/>
      <c r="E314" s="31"/>
      <c r="F314" s="31"/>
      <c r="G314" s="31"/>
      <c r="H314" s="31"/>
      <c r="I314" s="31"/>
      <c r="J314" s="31"/>
      <c r="K314" s="31"/>
      <c r="L314" s="31"/>
    </row>
    <row r="315" ht="15.75" customHeight="1">
      <c r="A315" s="31"/>
      <c r="B315" s="31"/>
      <c r="C315" s="31"/>
      <c r="D315" s="31"/>
      <c r="E315" s="31"/>
      <c r="F315" s="31"/>
      <c r="G315" s="31"/>
      <c r="H315" s="31"/>
      <c r="I315" s="31"/>
      <c r="J315" s="31"/>
      <c r="K315" s="31"/>
      <c r="L315" s="31"/>
    </row>
    <row r="316" ht="15.75" customHeight="1">
      <c r="A316" s="31"/>
      <c r="B316" s="31"/>
      <c r="C316" s="31"/>
      <c r="D316" s="31"/>
      <c r="E316" s="31"/>
      <c r="F316" s="31"/>
      <c r="G316" s="31"/>
      <c r="H316" s="31"/>
      <c r="I316" s="31"/>
      <c r="J316" s="31"/>
      <c r="K316" s="31"/>
      <c r="L316" s="31"/>
    </row>
    <row r="317" ht="15.75" customHeight="1">
      <c r="A317" s="31"/>
      <c r="B317" s="31"/>
      <c r="C317" s="31"/>
      <c r="D317" s="31"/>
      <c r="E317" s="31"/>
      <c r="F317" s="31"/>
      <c r="G317" s="31"/>
      <c r="H317" s="31"/>
      <c r="I317" s="31"/>
      <c r="J317" s="31"/>
      <c r="K317" s="31"/>
      <c r="L317" s="31"/>
    </row>
    <row r="318" ht="15.75" customHeight="1">
      <c r="A318" s="31"/>
      <c r="B318" s="31"/>
      <c r="C318" s="31"/>
      <c r="D318" s="31"/>
      <c r="E318" s="31"/>
      <c r="F318" s="31"/>
      <c r="G318" s="31"/>
      <c r="H318" s="31"/>
      <c r="I318" s="31"/>
      <c r="J318" s="31"/>
      <c r="K318" s="31"/>
      <c r="L318" s="31"/>
    </row>
    <row r="319" ht="15.75" customHeight="1">
      <c r="A319" s="31"/>
      <c r="B319" s="31"/>
      <c r="C319" s="31"/>
      <c r="D319" s="31"/>
      <c r="E319" s="31"/>
      <c r="F319" s="31"/>
      <c r="G319" s="31"/>
      <c r="H319" s="31"/>
      <c r="I319" s="31"/>
      <c r="J319" s="31"/>
      <c r="K319" s="31"/>
      <c r="L319" s="31"/>
    </row>
    <row r="320" ht="15.75" customHeight="1">
      <c r="A320" s="31"/>
      <c r="B320" s="31"/>
      <c r="C320" s="31"/>
      <c r="D320" s="31"/>
      <c r="E320" s="31"/>
      <c r="F320" s="31"/>
      <c r="G320" s="31"/>
      <c r="H320" s="31"/>
      <c r="I320" s="31"/>
      <c r="J320" s="31"/>
      <c r="K320" s="31"/>
      <c r="L320" s="31"/>
    </row>
    <row r="321" ht="15.75" customHeight="1">
      <c r="A321" s="31"/>
      <c r="B321" s="31"/>
      <c r="C321" s="31"/>
      <c r="D321" s="31"/>
      <c r="E321" s="31"/>
      <c r="F321" s="31"/>
      <c r="G321" s="31"/>
      <c r="H321" s="31"/>
      <c r="I321" s="31"/>
      <c r="J321" s="31"/>
      <c r="K321" s="31"/>
      <c r="L321" s="31"/>
    </row>
    <row r="322" ht="15.75" customHeight="1">
      <c r="A322" s="31"/>
      <c r="B322" s="31"/>
      <c r="C322" s="31"/>
      <c r="D322" s="31"/>
      <c r="E322" s="31"/>
      <c r="F322" s="31"/>
      <c r="G322" s="31"/>
      <c r="H322" s="31"/>
      <c r="I322" s="31"/>
      <c r="J322" s="31"/>
      <c r="K322" s="31"/>
      <c r="L322" s="31"/>
    </row>
    <row r="323" ht="15.75" customHeight="1">
      <c r="A323" s="31"/>
      <c r="B323" s="31"/>
      <c r="C323" s="31"/>
      <c r="D323" s="31"/>
      <c r="E323" s="31"/>
      <c r="F323" s="31"/>
      <c r="G323" s="31"/>
      <c r="H323" s="31"/>
      <c r="I323" s="31"/>
      <c r="J323" s="31"/>
      <c r="K323" s="31"/>
      <c r="L323" s="31"/>
    </row>
    <row r="324" ht="15.75" customHeight="1">
      <c r="A324" s="31"/>
      <c r="B324" s="31"/>
      <c r="C324" s="31"/>
      <c r="D324" s="31"/>
      <c r="E324" s="31"/>
      <c r="F324" s="31"/>
      <c r="G324" s="31"/>
      <c r="H324" s="31"/>
      <c r="I324" s="31"/>
      <c r="J324" s="31"/>
      <c r="K324" s="31"/>
      <c r="L324" s="31"/>
    </row>
    <row r="325" ht="15.75" customHeight="1">
      <c r="A325" s="31"/>
      <c r="B325" s="31"/>
      <c r="C325" s="31"/>
      <c r="D325" s="31"/>
      <c r="E325" s="31"/>
      <c r="F325" s="31"/>
      <c r="G325" s="31"/>
      <c r="H325" s="31"/>
      <c r="I325" s="31"/>
      <c r="J325" s="31"/>
      <c r="K325" s="31"/>
      <c r="L325" s="31"/>
    </row>
    <row r="326" ht="15.75" customHeight="1">
      <c r="A326" s="31"/>
      <c r="B326" s="31"/>
      <c r="C326" s="31"/>
      <c r="D326" s="31"/>
      <c r="E326" s="31"/>
      <c r="F326" s="31"/>
      <c r="G326" s="31"/>
      <c r="H326" s="31"/>
      <c r="I326" s="31"/>
      <c r="J326" s="31"/>
      <c r="K326" s="31"/>
      <c r="L326" s="31"/>
    </row>
    <row r="327" ht="15.75" customHeight="1">
      <c r="A327" s="31"/>
      <c r="B327" s="31"/>
      <c r="C327" s="31"/>
      <c r="D327" s="31"/>
      <c r="E327" s="31"/>
      <c r="F327" s="31"/>
      <c r="G327" s="31"/>
      <c r="H327" s="31"/>
      <c r="I327" s="31"/>
      <c r="J327" s="31"/>
      <c r="K327" s="31"/>
      <c r="L327" s="31"/>
    </row>
    <row r="328" ht="15.75" customHeight="1">
      <c r="A328" s="31"/>
      <c r="B328" s="31"/>
      <c r="C328" s="31"/>
      <c r="D328" s="31"/>
      <c r="E328" s="31"/>
      <c r="F328" s="31"/>
      <c r="G328" s="31"/>
      <c r="H328" s="31"/>
      <c r="I328" s="31"/>
      <c r="J328" s="31"/>
      <c r="K328" s="31"/>
      <c r="L328" s="31"/>
    </row>
    <row r="329" ht="15.75" customHeight="1">
      <c r="A329" s="31"/>
      <c r="B329" s="31"/>
      <c r="C329" s="31"/>
      <c r="D329" s="31"/>
      <c r="E329" s="31"/>
      <c r="F329" s="31"/>
      <c r="G329" s="31"/>
      <c r="H329" s="31"/>
      <c r="I329" s="31"/>
      <c r="J329" s="31"/>
      <c r="K329" s="31"/>
      <c r="L329" s="31"/>
    </row>
    <row r="330" ht="15.75" customHeight="1">
      <c r="A330" s="31"/>
      <c r="B330" s="31"/>
      <c r="C330" s="31"/>
      <c r="D330" s="31"/>
      <c r="E330" s="31"/>
      <c r="F330" s="31"/>
      <c r="G330" s="31"/>
      <c r="H330" s="31"/>
      <c r="I330" s="31"/>
      <c r="J330" s="31"/>
      <c r="K330" s="31"/>
      <c r="L330" s="31"/>
    </row>
    <row r="331" ht="15.75" customHeight="1">
      <c r="A331" s="31"/>
      <c r="B331" s="31"/>
      <c r="C331" s="31"/>
      <c r="D331" s="31"/>
      <c r="E331" s="31"/>
      <c r="F331" s="31"/>
      <c r="G331" s="31"/>
      <c r="H331" s="31"/>
      <c r="I331" s="31"/>
      <c r="J331" s="31"/>
      <c r="K331" s="31"/>
      <c r="L331" s="31"/>
    </row>
    <row r="332" ht="15.75" customHeight="1">
      <c r="A332" s="31"/>
      <c r="B332" s="31"/>
      <c r="C332" s="31"/>
      <c r="D332" s="31"/>
      <c r="E332" s="31"/>
      <c r="F332" s="31"/>
      <c r="G332" s="31"/>
      <c r="H332" s="31"/>
      <c r="I332" s="31"/>
      <c r="J332" s="31"/>
      <c r="K332" s="31"/>
      <c r="L332" s="31"/>
    </row>
    <row r="333" ht="15.75" customHeight="1">
      <c r="A333" s="31"/>
      <c r="B333" s="31"/>
      <c r="C333" s="31"/>
      <c r="D333" s="31"/>
      <c r="E333" s="31"/>
      <c r="F333" s="31"/>
      <c r="G333" s="31"/>
      <c r="H333" s="31"/>
      <c r="I333" s="31"/>
      <c r="J333" s="31"/>
      <c r="K333" s="31"/>
      <c r="L333" s="31"/>
    </row>
    <row r="334" ht="15.75" customHeight="1">
      <c r="A334" s="31"/>
      <c r="B334" s="31"/>
      <c r="C334" s="31"/>
      <c r="D334" s="31"/>
      <c r="E334" s="31"/>
      <c r="F334" s="31"/>
      <c r="G334" s="31"/>
      <c r="H334" s="31"/>
      <c r="I334" s="31"/>
      <c r="J334" s="31"/>
      <c r="K334" s="31"/>
      <c r="L334" s="31"/>
    </row>
    <row r="335" ht="15.75" customHeight="1">
      <c r="A335" s="31"/>
      <c r="B335" s="31"/>
      <c r="C335" s="31"/>
      <c r="D335" s="31"/>
      <c r="E335" s="31"/>
      <c r="F335" s="31"/>
      <c r="G335" s="31"/>
      <c r="H335" s="31"/>
      <c r="I335" s="31"/>
      <c r="J335" s="31"/>
      <c r="K335" s="31"/>
      <c r="L335" s="31"/>
    </row>
    <row r="336" ht="15.75" customHeight="1">
      <c r="A336" s="31"/>
      <c r="B336" s="31"/>
      <c r="C336" s="31"/>
      <c r="D336" s="31"/>
      <c r="E336" s="31"/>
      <c r="F336" s="31"/>
      <c r="G336" s="31"/>
      <c r="H336" s="31"/>
      <c r="I336" s="31"/>
      <c r="J336" s="31"/>
      <c r="K336" s="31"/>
      <c r="L336" s="31"/>
    </row>
    <row r="337" ht="15.75" customHeight="1">
      <c r="A337" s="31"/>
      <c r="B337" s="31"/>
      <c r="C337" s="31"/>
      <c r="D337" s="31"/>
      <c r="E337" s="31"/>
      <c r="F337" s="31"/>
      <c r="G337" s="31"/>
      <c r="H337" s="31"/>
      <c r="I337" s="31"/>
      <c r="J337" s="31"/>
      <c r="K337" s="31"/>
      <c r="L337" s="31"/>
    </row>
    <row r="338" ht="15.75" customHeight="1">
      <c r="A338" s="31"/>
      <c r="B338" s="31"/>
      <c r="C338" s="31"/>
      <c r="D338" s="31"/>
      <c r="E338" s="31"/>
      <c r="F338" s="31"/>
      <c r="G338" s="31"/>
      <c r="H338" s="31"/>
      <c r="I338" s="31"/>
      <c r="J338" s="31"/>
      <c r="K338" s="31"/>
      <c r="L338" s="31"/>
    </row>
    <row r="339" ht="15.75" customHeight="1">
      <c r="A339" s="31"/>
      <c r="B339" s="31"/>
      <c r="C339" s="31"/>
      <c r="D339" s="31"/>
      <c r="E339" s="31"/>
      <c r="F339" s="31"/>
      <c r="G339" s="31"/>
      <c r="H339" s="31"/>
      <c r="I339" s="31"/>
      <c r="J339" s="31"/>
      <c r="K339" s="31"/>
      <c r="L339" s="31"/>
    </row>
    <row r="340" ht="15.75" customHeight="1">
      <c r="A340" s="31"/>
      <c r="B340" s="31"/>
      <c r="C340" s="31"/>
      <c r="D340" s="31"/>
      <c r="E340" s="31"/>
      <c r="F340" s="31"/>
      <c r="G340" s="31"/>
      <c r="H340" s="31"/>
      <c r="I340" s="31"/>
      <c r="J340" s="31"/>
      <c r="K340" s="31"/>
      <c r="L340" s="31"/>
    </row>
    <row r="341" ht="15.75" customHeight="1">
      <c r="A341" s="31"/>
      <c r="B341" s="31"/>
      <c r="C341" s="31"/>
      <c r="D341" s="31"/>
      <c r="E341" s="31"/>
      <c r="F341" s="31"/>
      <c r="G341" s="31"/>
      <c r="H341" s="31"/>
      <c r="I341" s="31"/>
      <c r="J341" s="31"/>
      <c r="K341" s="31"/>
      <c r="L341" s="31"/>
    </row>
    <row r="342" ht="15.75" customHeight="1">
      <c r="A342" s="31"/>
      <c r="B342" s="31"/>
      <c r="C342" s="31"/>
      <c r="D342" s="31"/>
      <c r="E342" s="31"/>
      <c r="F342" s="31"/>
      <c r="G342" s="31"/>
      <c r="H342" s="31"/>
      <c r="I342" s="31"/>
      <c r="J342" s="31"/>
      <c r="K342" s="31"/>
      <c r="L342" s="31"/>
    </row>
    <row r="343" ht="15.75" customHeight="1">
      <c r="A343" s="31"/>
      <c r="B343" s="31"/>
      <c r="C343" s="31"/>
      <c r="D343" s="31"/>
      <c r="E343" s="31"/>
      <c r="F343" s="31"/>
      <c r="G343" s="31"/>
      <c r="H343" s="31"/>
      <c r="I343" s="31"/>
      <c r="J343" s="31"/>
      <c r="K343" s="31"/>
      <c r="L343" s="31"/>
    </row>
    <row r="344" ht="15.75" customHeight="1">
      <c r="A344" s="31"/>
      <c r="B344" s="31"/>
      <c r="C344" s="31"/>
      <c r="D344" s="31"/>
      <c r="E344" s="31"/>
      <c r="F344" s="31"/>
      <c r="G344" s="31"/>
      <c r="H344" s="31"/>
      <c r="I344" s="31"/>
      <c r="J344" s="31"/>
      <c r="K344" s="31"/>
      <c r="L344" s="31"/>
    </row>
    <row r="345" ht="15.75" customHeight="1">
      <c r="A345" s="31"/>
      <c r="B345" s="31"/>
      <c r="C345" s="31"/>
      <c r="D345" s="31"/>
      <c r="E345" s="31"/>
      <c r="F345" s="31"/>
      <c r="G345" s="31"/>
      <c r="H345" s="31"/>
      <c r="I345" s="31"/>
      <c r="J345" s="31"/>
      <c r="K345" s="31"/>
      <c r="L345" s="31"/>
    </row>
    <row r="346" ht="15.75" customHeight="1">
      <c r="A346" s="31"/>
      <c r="B346" s="31"/>
      <c r="C346" s="31"/>
      <c r="D346" s="31"/>
      <c r="E346" s="31"/>
      <c r="F346" s="31"/>
      <c r="G346" s="31"/>
      <c r="H346" s="31"/>
      <c r="I346" s="31"/>
      <c r="J346" s="31"/>
      <c r="K346" s="31"/>
      <c r="L346" s="31"/>
    </row>
    <row r="347" ht="15.75" customHeight="1">
      <c r="A347" s="31"/>
      <c r="B347" s="31"/>
      <c r="C347" s="31"/>
      <c r="D347" s="31"/>
      <c r="E347" s="31"/>
      <c r="F347" s="31"/>
      <c r="G347" s="31"/>
      <c r="H347" s="31"/>
      <c r="I347" s="31"/>
      <c r="J347" s="31"/>
      <c r="K347" s="31"/>
      <c r="L347" s="31"/>
    </row>
    <row r="348" ht="15.75" customHeight="1">
      <c r="A348" s="31"/>
      <c r="B348" s="31"/>
      <c r="C348" s="31"/>
      <c r="D348" s="31"/>
      <c r="E348" s="31"/>
      <c r="F348" s="31"/>
      <c r="G348" s="31"/>
      <c r="H348" s="31"/>
      <c r="I348" s="31"/>
      <c r="J348" s="31"/>
      <c r="K348" s="31"/>
      <c r="L348" s="31"/>
    </row>
    <row r="349" ht="15.75" customHeight="1">
      <c r="A349" s="31"/>
      <c r="B349" s="31"/>
      <c r="C349" s="31"/>
      <c r="D349" s="31"/>
      <c r="E349" s="31"/>
      <c r="F349" s="31"/>
      <c r="G349" s="31"/>
      <c r="H349" s="31"/>
      <c r="I349" s="31"/>
      <c r="J349" s="31"/>
      <c r="K349" s="31"/>
      <c r="L349" s="31"/>
    </row>
    <row r="350" ht="15.75" customHeight="1">
      <c r="A350" s="31"/>
      <c r="B350" s="31"/>
      <c r="C350" s="31"/>
      <c r="D350" s="31"/>
      <c r="E350" s="31"/>
      <c r="F350" s="31"/>
      <c r="G350" s="31"/>
      <c r="H350" s="31"/>
      <c r="I350" s="31"/>
      <c r="J350" s="31"/>
      <c r="K350" s="31"/>
      <c r="L350" s="31"/>
    </row>
    <row r="351" ht="15.75" customHeight="1">
      <c r="A351" s="31"/>
      <c r="B351" s="31"/>
      <c r="C351" s="31"/>
      <c r="D351" s="31"/>
      <c r="E351" s="31"/>
      <c r="F351" s="31"/>
      <c r="G351" s="31"/>
      <c r="H351" s="31"/>
      <c r="I351" s="31"/>
      <c r="J351" s="31"/>
      <c r="K351" s="31"/>
      <c r="L351" s="31"/>
    </row>
    <row r="352" ht="15.75" customHeight="1">
      <c r="A352" s="31"/>
      <c r="B352" s="31"/>
      <c r="C352" s="31"/>
      <c r="D352" s="31"/>
      <c r="E352" s="31"/>
      <c r="F352" s="31"/>
      <c r="G352" s="31"/>
      <c r="H352" s="31"/>
      <c r="I352" s="31"/>
      <c r="J352" s="31"/>
      <c r="K352" s="31"/>
      <c r="L352" s="31"/>
    </row>
    <row r="353" ht="15.75" customHeight="1">
      <c r="A353" s="31"/>
      <c r="B353" s="31"/>
      <c r="C353" s="31"/>
      <c r="D353" s="31"/>
      <c r="E353" s="31"/>
      <c r="F353" s="31"/>
      <c r="G353" s="31"/>
      <c r="H353" s="31"/>
      <c r="I353" s="31"/>
      <c r="J353" s="31"/>
      <c r="K353" s="31"/>
      <c r="L353" s="31"/>
    </row>
    <row r="354" ht="15.75" customHeight="1">
      <c r="A354" s="31"/>
      <c r="B354" s="31"/>
      <c r="C354" s="31"/>
      <c r="D354" s="31"/>
      <c r="E354" s="31"/>
      <c r="F354" s="31"/>
      <c r="G354" s="31"/>
      <c r="H354" s="31"/>
      <c r="I354" s="31"/>
      <c r="J354" s="31"/>
      <c r="K354" s="31"/>
      <c r="L354" s="31"/>
    </row>
    <row r="355" ht="15.75" customHeight="1">
      <c r="A355" s="31"/>
      <c r="B355" s="31"/>
      <c r="C355" s="31"/>
      <c r="D355" s="31"/>
      <c r="E355" s="31"/>
      <c r="F355" s="31"/>
      <c r="G355" s="31"/>
      <c r="H355" s="31"/>
      <c r="I355" s="31"/>
      <c r="J355" s="31"/>
      <c r="K355" s="31"/>
      <c r="L355" s="31"/>
    </row>
    <row r="356" ht="15.75" customHeight="1">
      <c r="A356" s="31"/>
      <c r="B356" s="31"/>
      <c r="C356" s="31"/>
      <c r="D356" s="31"/>
      <c r="E356" s="31"/>
      <c r="F356" s="31"/>
      <c r="G356" s="31"/>
      <c r="H356" s="31"/>
      <c r="I356" s="31"/>
      <c r="J356" s="31"/>
      <c r="K356" s="31"/>
      <c r="L356" s="31"/>
    </row>
    <row r="357" ht="15.75" customHeight="1">
      <c r="A357" s="31"/>
      <c r="B357" s="31"/>
      <c r="C357" s="31"/>
      <c r="D357" s="31"/>
      <c r="E357" s="31"/>
      <c r="F357" s="31"/>
      <c r="G357" s="31"/>
      <c r="H357" s="31"/>
      <c r="I357" s="31"/>
      <c r="J357" s="31"/>
      <c r="K357" s="31"/>
      <c r="L357" s="31"/>
    </row>
    <row r="358" ht="15.75" customHeight="1">
      <c r="A358" s="31"/>
      <c r="B358" s="31"/>
      <c r="C358" s="31"/>
      <c r="D358" s="31"/>
      <c r="E358" s="31"/>
      <c r="F358" s="31"/>
      <c r="G358" s="31"/>
      <c r="H358" s="31"/>
      <c r="I358" s="31"/>
      <c r="J358" s="31"/>
      <c r="K358" s="31"/>
      <c r="L358" s="31"/>
    </row>
    <row r="359" ht="15.75" customHeight="1">
      <c r="A359" s="31"/>
      <c r="B359" s="31"/>
      <c r="C359" s="31"/>
      <c r="D359" s="31"/>
      <c r="E359" s="31"/>
      <c r="F359" s="31"/>
      <c r="G359" s="31"/>
      <c r="H359" s="31"/>
      <c r="I359" s="31"/>
      <c r="J359" s="31"/>
      <c r="K359" s="31"/>
      <c r="L359" s="31"/>
    </row>
    <row r="360" ht="15.75" customHeight="1">
      <c r="A360" s="31"/>
      <c r="B360" s="31"/>
      <c r="C360" s="31"/>
      <c r="D360" s="31"/>
      <c r="E360" s="31"/>
      <c r="F360" s="31"/>
      <c r="G360" s="31"/>
      <c r="H360" s="31"/>
      <c r="I360" s="31"/>
      <c r="J360" s="31"/>
      <c r="K360" s="31"/>
      <c r="L360" s="31"/>
    </row>
    <row r="361" ht="15.75" customHeight="1">
      <c r="A361" s="31"/>
      <c r="B361" s="31"/>
      <c r="C361" s="31"/>
      <c r="D361" s="31"/>
      <c r="E361" s="31"/>
      <c r="F361" s="31"/>
      <c r="G361" s="31"/>
      <c r="H361" s="31"/>
      <c r="I361" s="31"/>
      <c r="J361" s="31"/>
      <c r="K361" s="31"/>
      <c r="L361" s="31"/>
    </row>
    <row r="362" ht="15.75" customHeight="1">
      <c r="A362" s="31"/>
      <c r="B362" s="31"/>
      <c r="C362" s="31"/>
      <c r="D362" s="31"/>
      <c r="E362" s="31"/>
      <c r="F362" s="31"/>
      <c r="G362" s="31"/>
      <c r="H362" s="31"/>
      <c r="I362" s="31"/>
      <c r="J362" s="31"/>
      <c r="K362" s="31"/>
      <c r="L362" s="31"/>
    </row>
    <row r="363" ht="15.75" customHeight="1">
      <c r="A363" s="31"/>
      <c r="B363" s="31"/>
      <c r="C363" s="31"/>
      <c r="D363" s="31"/>
      <c r="E363" s="31"/>
      <c r="F363" s="31"/>
      <c r="G363" s="31"/>
      <c r="H363" s="31"/>
      <c r="I363" s="31"/>
      <c r="J363" s="31"/>
      <c r="K363" s="31"/>
      <c r="L363" s="31"/>
    </row>
    <row r="364" ht="15.75" customHeight="1">
      <c r="A364" s="31"/>
      <c r="B364" s="31"/>
      <c r="C364" s="31"/>
      <c r="D364" s="31"/>
      <c r="E364" s="31"/>
      <c r="F364" s="31"/>
      <c r="G364" s="31"/>
      <c r="H364" s="31"/>
      <c r="I364" s="31"/>
      <c r="J364" s="31"/>
      <c r="K364" s="31"/>
      <c r="L364" s="31"/>
    </row>
    <row r="365" ht="15.75" customHeight="1">
      <c r="A365" s="31"/>
      <c r="B365" s="31"/>
      <c r="C365" s="31"/>
      <c r="D365" s="31"/>
      <c r="E365" s="31"/>
      <c r="F365" s="31"/>
      <c r="G365" s="31"/>
      <c r="H365" s="31"/>
      <c r="I365" s="31"/>
      <c r="J365" s="31"/>
      <c r="K365" s="31"/>
      <c r="L365" s="31"/>
    </row>
    <row r="366" ht="15.75" customHeight="1">
      <c r="A366" s="31"/>
      <c r="B366" s="31"/>
      <c r="C366" s="31"/>
      <c r="D366" s="31"/>
      <c r="E366" s="31"/>
      <c r="F366" s="31"/>
      <c r="G366" s="31"/>
      <c r="H366" s="31"/>
      <c r="I366" s="31"/>
      <c r="J366" s="31"/>
      <c r="K366" s="31"/>
      <c r="L366" s="31"/>
    </row>
    <row r="367" ht="15.75" customHeight="1">
      <c r="A367" s="31"/>
      <c r="B367" s="31"/>
      <c r="C367" s="31"/>
      <c r="D367" s="31"/>
      <c r="E367" s="31"/>
      <c r="F367" s="31"/>
      <c r="G367" s="31"/>
      <c r="H367" s="31"/>
      <c r="I367" s="31"/>
      <c r="J367" s="31"/>
      <c r="K367" s="31"/>
      <c r="L367" s="31"/>
    </row>
    <row r="368" ht="15.75" customHeight="1">
      <c r="A368" s="31"/>
      <c r="B368" s="31"/>
      <c r="C368" s="31"/>
      <c r="D368" s="31"/>
      <c r="E368" s="31"/>
      <c r="F368" s="31"/>
      <c r="G368" s="31"/>
      <c r="H368" s="31"/>
      <c r="I368" s="31"/>
      <c r="J368" s="31"/>
      <c r="K368" s="31"/>
      <c r="L368" s="31"/>
    </row>
    <row r="369" ht="15.75" customHeight="1">
      <c r="A369" s="31"/>
      <c r="B369" s="31"/>
      <c r="C369" s="31"/>
      <c r="D369" s="31"/>
      <c r="E369" s="31"/>
      <c r="F369" s="31"/>
      <c r="G369" s="31"/>
      <c r="H369" s="31"/>
      <c r="I369" s="31"/>
      <c r="J369" s="31"/>
      <c r="K369" s="31"/>
      <c r="L369" s="31"/>
    </row>
    <row r="370" ht="15.75" customHeight="1">
      <c r="A370" s="31"/>
      <c r="B370" s="31"/>
      <c r="C370" s="31"/>
      <c r="D370" s="31"/>
      <c r="E370" s="31"/>
      <c r="F370" s="31"/>
      <c r="G370" s="31"/>
      <c r="H370" s="31"/>
      <c r="I370" s="31"/>
      <c r="J370" s="31"/>
      <c r="K370" s="31"/>
      <c r="L370" s="31"/>
    </row>
    <row r="371" ht="15.75" customHeight="1">
      <c r="A371" s="31"/>
      <c r="B371" s="31"/>
      <c r="C371" s="31"/>
      <c r="D371" s="31"/>
      <c r="E371" s="31"/>
      <c r="F371" s="31"/>
      <c r="G371" s="31"/>
      <c r="H371" s="31"/>
      <c r="I371" s="31"/>
      <c r="J371" s="31"/>
      <c r="K371" s="31"/>
      <c r="L371" s="31"/>
    </row>
    <row r="372" ht="15.75" customHeight="1">
      <c r="A372" s="31"/>
      <c r="B372" s="31"/>
      <c r="C372" s="31"/>
      <c r="D372" s="31"/>
      <c r="E372" s="31"/>
      <c r="F372" s="31"/>
      <c r="G372" s="31"/>
      <c r="H372" s="31"/>
      <c r="I372" s="31"/>
      <c r="J372" s="31"/>
      <c r="K372" s="31"/>
      <c r="L372" s="31"/>
    </row>
    <row r="373" ht="15.75" customHeight="1">
      <c r="A373" s="31"/>
      <c r="B373" s="31"/>
      <c r="C373" s="31"/>
      <c r="D373" s="31"/>
      <c r="E373" s="31"/>
      <c r="F373" s="31"/>
      <c r="G373" s="31"/>
      <c r="H373" s="31"/>
      <c r="I373" s="31"/>
      <c r="J373" s="31"/>
      <c r="K373" s="31"/>
      <c r="L373" s="31"/>
    </row>
    <row r="374" ht="15.75" customHeight="1">
      <c r="A374" s="31"/>
      <c r="B374" s="31"/>
      <c r="C374" s="31"/>
      <c r="D374" s="31"/>
      <c r="E374" s="31"/>
      <c r="F374" s="31"/>
      <c r="G374" s="31"/>
      <c r="H374" s="31"/>
      <c r="I374" s="31"/>
      <c r="J374" s="31"/>
      <c r="K374" s="31"/>
      <c r="L374" s="31"/>
    </row>
    <row r="375" ht="15.75" customHeight="1">
      <c r="A375" s="31"/>
      <c r="B375" s="31"/>
      <c r="C375" s="31"/>
      <c r="D375" s="31"/>
      <c r="E375" s="31"/>
      <c r="F375" s="31"/>
      <c r="G375" s="31"/>
      <c r="H375" s="31"/>
      <c r="I375" s="31"/>
      <c r="J375" s="31"/>
      <c r="K375" s="31"/>
      <c r="L375" s="31"/>
    </row>
    <row r="376" ht="15.75" customHeight="1">
      <c r="A376" s="31"/>
      <c r="B376" s="31"/>
      <c r="C376" s="31"/>
      <c r="D376" s="31"/>
      <c r="E376" s="31"/>
      <c r="F376" s="31"/>
      <c r="G376" s="31"/>
      <c r="H376" s="31"/>
      <c r="I376" s="31"/>
      <c r="J376" s="31"/>
      <c r="K376" s="31"/>
      <c r="L376" s="31"/>
    </row>
    <row r="377" ht="15.75" customHeight="1">
      <c r="A377" s="31"/>
      <c r="B377" s="31"/>
      <c r="C377" s="31"/>
      <c r="D377" s="31"/>
      <c r="E377" s="31"/>
      <c r="F377" s="31"/>
      <c r="G377" s="31"/>
      <c r="H377" s="31"/>
      <c r="I377" s="31"/>
      <c r="J377" s="31"/>
      <c r="K377" s="31"/>
      <c r="L377" s="31"/>
    </row>
    <row r="378" ht="15.75" customHeight="1">
      <c r="A378" s="31"/>
      <c r="B378" s="31"/>
      <c r="C378" s="31"/>
      <c r="D378" s="31"/>
      <c r="E378" s="31"/>
      <c r="F378" s="31"/>
      <c r="G378" s="31"/>
      <c r="H378" s="31"/>
      <c r="I378" s="31"/>
      <c r="J378" s="31"/>
      <c r="K378" s="31"/>
      <c r="L378" s="31"/>
    </row>
    <row r="379" ht="15.75" customHeight="1">
      <c r="A379" s="31"/>
      <c r="B379" s="31"/>
      <c r="C379" s="31"/>
      <c r="D379" s="31"/>
      <c r="E379" s="31"/>
      <c r="F379" s="31"/>
      <c r="G379" s="31"/>
      <c r="H379" s="31"/>
      <c r="I379" s="31"/>
      <c r="J379" s="31"/>
      <c r="K379" s="31"/>
      <c r="L379" s="31"/>
    </row>
    <row r="380" ht="15.75" customHeight="1">
      <c r="A380" s="31"/>
      <c r="B380" s="31"/>
      <c r="C380" s="31"/>
      <c r="D380" s="31"/>
      <c r="E380" s="31"/>
      <c r="F380" s="31"/>
      <c r="G380" s="31"/>
      <c r="H380" s="31"/>
      <c r="I380" s="31"/>
      <c r="J380" s="31"/>
      <c r="K380" s="31"/>
      <c r="L380" s="31"/>
    </row>
    <row r="381" ht="15.75" customHeight="1">
      <c r="A381" s="31"/>
      <c r="B381" s="31"/>
      <c r="C381" s="31"/>
      <c r="D381" s="31"/>
      <c r="E381" s="31"/>
      <c r="F381" s="31"/>
      <c r="G381" s="31"/>
      <c r="H381" s="31"/>
      <c r="I381" s="31"/>
      <c r="J381" s="31"/>
      <c r="K381" s="31"/>
      <c r="L381" s="31"/>
    </row>
    <row r="382" ht="15.75" customHeight="1">
      <c r="A382" s="31"/>
      <c r="B382" s="31"/>
      <c r="C382" s="31"/>
      <c r="D382" s="31"/>
      <c r="E382" s="31"/>
      <c r="F382" s="31"/>
      <c r="G382" s="31"/>
      <c r="H382" s="31"/>
      <c r="I382" s="31"/>
      <c r="J382" s="31"/>
      <c r="K382" s="31"/>
      <c r="L382" s="31"/>
    </row>
    <row r="383" ht="15.75" customHeight="1">
      <c r="A383" s="31"/>
      <c r="B383" s="31"/>
      <c r="C383" s="31"/>
      <c r="D383" s="31"/>
      <c r="E383" s="31"/>
      <c r="F383" s="31"/>
      <c r="G383" s="31"/>
      <c r="H383" s="31"/>
      <c r="I383" s="31"/>
      <c r="J383" s="31"/>
      <c r="K383" s="31"/>
      <c r="L383" s="31"/>
    </row>
    <row r="384" ht="15.75" customHeight="1">
      <c r="A384" s="31"/>
      <c r="B384" s="31"/>
      <c r="C384" s="31"/>
      <c r="D384" s="31"/>
      <c r="E384" s="31"/>
      <c r="F384" s="31"/>
      <c r="G384" s="31"/>
      <c r="H384" s="31"/>
      <c r="I384" s="31"/>
      <c r="J384" s="31"/>
      <c r="K384" s="31"/>
      <c r="L384" s="31"/>
    </row>
    <row r="385" ht="15.75" customHeight="1">
      <c r="A385" s="31"/>
      <c r="B385" s="31"/>
      <c r="C385" s="31"/>
      <c r="D385" s="31"/>
      <c r="E385" s="31"/>
      <c r="F385" s="31"/>
      <c r="G385" s="31"/>
      <c r="H385" s="31"/>
      <c r="I385" s="31"/>
      <c r="J385" s="31"/>
      <c r="K385" s="31"/>
      <c r="L385" s="31"/>
    </row>
    <row r="386" ht="15.75" customHeight="1">
      <c r="A386" s="31"/>
      <c r="B386" s="31"/>
      <c r="C386" s="31"/>
      <c r="D386" s="31"/>
      <c r="E386" s="31"/>
      <c r="F386" s="31"/>
      <c r="G386" s="31"/>
      <c r="H386" s="31"/>
      <c r="I386" s="31"/>
      <c r="J386" s="31"/>
      <c r="K386" s="31"/>
      <c r="L386" s="31"/>
    </row>
    <row r="387" ht="15.75" customHeight="1">
      <c r="A387" s="31"/>
      <c r="B387" s="31"/>
      <c r="C387" s="31"/>
      <c r="D387" s="31"/>
      <c r="E387" s="31"/>
      <c r="F387" s="31"/>
      <c r="G387" s="31"/>
      <c r="H387" s="31"/>
      <c r="I387" s="31"/>
      <c r="J387" s="31"/>
      <c r="K387" s="31"/>
      <c r="L387" s="31"/>
    </row>
    <row r="388" ht="15.75" customHeight="1">
      <c r="A388" s="31"/>
      <c r="B388" s="31"/>
      <c r="C388" s="31"/>
      <c r="D388" s="31"/>
      <c r="E388" s="31"/>
      <c r="F388" s="31"/>
      <c r="G388" s="31"/>
      <c r="H388" s="31"/>
      <c r="I388" s="31"/>
      <c r="J388" s="31"/>
      <c r="K388" s="31"/>
      <c r="L388" s="31"/>
    </row>
    <row r="389" ht="15.75" customHeight="1">
      <c r="A389" s="31"/>
      <c r="B389" s="31"/>
      <c r="C389" s="31"/>
      <c r="D389" s="31"/>
      <c r="E389" s="31"/>
      <c r="F389" s="31"/>
      <c r="G389" s="31"/>
      <c r="H389" s="31"/>
      <c r="I389" s="31"/>
      <c r="J389" s="31"/>
      <c r="K389" s="31"/>
      <c r="L389" s="31"/>
    </row>
    <row r="390" ht="15.75" customHeight="1">
      <c r="A390" s="31"/>
      <c r="B390" s="31"/>
      <c r="C390" s="31"/>
      <c r="D390" s="31"/>
      <c r="E390" s="31"/>
      <c r="F390" s="31"/>
      <c r="G390" s="31"/>
      <c r="H390" s="31"/>
      <c r="I390" s="31"/>
      <c r="J390" s="31"/>
      <c r="K390" s="31"/>
      <c r="L390" s="31"/>
    </row>
    <row r="391" ht="15.75" customHeight="1">
      <c r="A391" s="31"/>
      <c r="B391" s="31"/>
      <c r="C391" s="31"/>
      <c r="D391" s="31"/>
      <c r="E391" s="31"/>
      <c r="F391" s="31"/>
      <c r="G391" s="31"/>
      <c r="H391" s="31"/>
      <c r="I391" s="31"/>
      <c r="J391" s="31"/>
      <c r="K391" s="31"/>
      <c r="L391" s="31"/>
    </row>
    <row r="392" ht="15.75" customHeight="1">
      <c r="A392" s="31"/>
      <c r="B392" s="31"/>
      <c r="C392" s="31"/>
      <c r="D392" s="31"/>
      <c r="E392" s="31"/>
      <c r="F392" s="31"/>
      <c r="G392" s="31"/>
      <c r="H392" s="31"/>
      <c r="I392" s="31"/>
      <c r="J392" s="31"/>
      <c r="K392" s="31"/>
      <c r="L392" s="31"/>
    </row>
    <row r="393" ht="15.75" customHeight="1">
      <c r="A393" s="31"/>
      <c r="B393" s="31"/>
      <c r="C393" s="31"/>
      <c r="D393" s="31"/>
      <c r="E393" s="31"/>
      <c r="F393" s="31"/>
      <c r="G393" s="31"/>
      <c r="H393" s="31"/>
      <c r="I393" s="31"/>
      <c r="J393" s="31"/>
      <c r="K393" s="31"/>
      <c r="L393" s="31"/>
    </row>
    <row r="394" ht="15.75" customHeight="1">
      <c r="A394" s="31"/>
      <c r="B394" s="31"/>
      <c r="C394" s="31"/>
      <c r="D394" s="31"/>
      <c r="E394" s="31"/>
      <c r="F394" s="31"/>
      <c r="G394" s="31"/>
      <c r="H394" s="31"/>
      <c r="I394" s="31"/>
      <c r="J394" s="31"/>
      <c r="K394" s="31"/>
      <c r="L394" s="31"/>
    </row>
    <row r="395" ht="15.75" customHeight="1">
      <c r="A395" s="31"/>
      <c r="B395" s="31"/>
      <c r="C395" s="31"/>
      <c r="D395" s="31"/>
      <c r="E395" s="31"/>
      <c r="F395" s="31"/>
      <c r="G395" s="31"/>
      <c r="H395" s="31"/>
      <c r="I395" s="31"/>
      <c r="J395" s="31"/>
      <c r="K395" s="31"/>
      <c r="L395" s="31"/>
    </row>
    <row r="396" ht="15.75" customHeight="1">
      <c r="A396" s="31"/>
      <c r="B396" s="31"/>
      <c r="C396" s="31"/>
      <c r="D396" s="31"/>
      <c r="E396" s="31"/>
      <c r="F396" s="31"/>
      <c r="G396" s="31"/>
      <c r="H396" s="31"/>
      <c r="I396" s="31"/>
      <c r="J396" s="31"/>
      <c r="K396" s="31"/>
      <c r="L396" s="31"/>
    </row>
    <row r="397" ht="15.75" customHeight="1">
      <c r="A397" s="31"/>
      <c r="B397" s="31"/>
      <c r="C397" s="31"/>
      <c r="D397" s="31"/>
      <c r="E397" s="31"/>
      <c r="F397" s="31"/>
      <c r="G397" s="31"/>
      <c r="H397" s="31"/>
      <c r="I397" s="31"/>
      <c r="J397" s="31"/>
      <c r="K397" s="31"/>
      <c r="L397" s="31"/>
    </row>
    <row r="398" ht="15.75" customHeight="1">
      <c r="A398" s="31"/>
      <c r="B398" s="31"/>
      <c r="C398" s="31"/>
      <c r="D398" s="31"/>
      <c r="E398" s="31"/>
      <c r="F398" s="31"/>
      <c r="G398" s="31"/>
      <c r="H398" s="31"/>
      <c r="I398" s="31"/>
      <c r="J398" s="31"/>
      <c r="K398" s="31"/>
      <c r="L398" s="31"/>
    </row>
    <row r="399" ht="15.75" customHeight="1">
      <c r="A399" s="31"/>
      <c r="B399" s="31"/>
      <c r="C399" s="31"/>
      <c r="D399" s="31"/>
      <c r="E399" s="31"/>
      <c r="F399" s="31"/>
      <c r="G399" s="31"/>
      <c r="H399" s="31"/>
      <c r="I399" s="31"/>
      <c r="J399" s="31"/>
      <c r="K399" s="31"/>
      <c r="L399" s="31"/>
    </row>
    <row r="400" ht="15.75" customHeight="1">
      <c r="A400" s="31"/>
      <c r="B400" s="31"/>
      <c r="C400" s="31"/>
      <c r="D400" s="31"/>
      <c r="E400" s="31"/>
      <c r="F400" s="31"/>
      <c r="G400" s="31"/>
      <c r="H400" s="31"/>
      <c r="I400" s="31"/>
      <c r="J400" s="31"/>
      <c r="K400" s="31"/>
      <c r="L400" s="31"/>
    </row>
    <row r="401" ht="15.75" customHeight="1">
      <c r="A401" s="31"/>
      <c r="B401" s="31"/>
      <c r="C401" s="31"/>
      <c r="D401" s="31"/>
      <c r="E401" s="31"/>
      <c r="F401" s="31"/>
      <c r="G401" s="31"/>
      <c r="H401" s="31"/>
      <c r="I401" s="31"/>
      <c r="J401" s="31"/>
      <c r="K401" s="31"/>
      <c r="L401" s="31"/>
    </row>
    <row r="402" ht="15.75" customHeight="1">
      <c r="A402" s="31"/>
      <c r="B402" s="31"/>
      <c r="C402" s="31"/>
      <c r="D402" s="31"/>
      <c r="E402" s="31"/>
      <c r="F402" s="31"/>
      <c r="G402" s="31"/>
      <c r="H402" s="31"/>
      <c r="I402" s="31"/>
      <c r="J402" s="31"/>
      <c r="K402" s="31"/>
      <c r="L402" s="31"/>
    </row>
    <row r="403" ht="15.75" customHeight="1">
      <c r="A403" s="31"/>
      <c r="B403" s="31"/>
      <c r="C403" s="31"/>
      <c r="D403" s="31"/>
      <c r="E403" s="31"/>
      <c r="F403" s="31"/>
      <c r="G403" s="31"/>
      <c r="H403" s="31"/>
      <c r="I403" s="31"/>
      <c r="J403" s="31"/>
      <c r="K403" s="31"/>
      <c r="L403" s="31"/>
    </row>
    <row r="404" ht="15.75" customHeight="1">
      <c r="A404" s="31"/>
      <c r="B404" s="31"/>
      <c r="C404" s="31"/>
      <c r="D404" s="31"/>
      <c r="E404" s="31"/>
      <c r="F404" s="31"/>
      <c r="G404" s="31"/>
      <c r="H404" s="31"/>
      <c r="I404" s="31"/>
      <c r="J404" s="31"/>
      <c r="K404" s="31"/>
      <c r="L404" s="31"/>
    </row>
    <row r="405" ht="15.75" customHeight="1">
      <c r="A405" s="31"/>
      <c r="B405" s="31"/>
      <c r="C405" s="31"/>
      <c r="D405" s="31"/>
      <c r="E405" s="31"/>
      <c r="F405" s="31"/>
      <c r="G405" s="31"/>
      <c r="H405" s="31"/>
      <c r="I405" s="31"/>
      <c r="J405" s="31"/>
      <c r="K405" s="31"/>
      <c r="L405" s="31"/>
    </row>
    <row r="406" ht="15.75" customHeight="1">
      <c r="A406" s="31"/>
      <c r="B406" s="31"/>
      <c r="C406" s="31"/>
      <c r="D406" s="31"/>
      <c r="E406" s="31"/>
      <c r="F406" s="31"/>
      <c r="G406" s="31"/>
      <c r="H406" s="31"/>
      <c r="I406" s="31"/>
      <c r="J406" s="31"/>
      <c r="K406" s="31"/>
      <c r="L406" s="31"/>
    </row>
    <row r="407" ht="15.75" customHeight="1">
      <c r="A407" s="31"/>
      <c r="B407" s="31"/>
      <c r="C407" s="31"/>
      <c r="D407" s="31"/>
      <c r="E407" s="31"/>
      <c r="F407" s="31"/>
      <c r="G407" s="31"/>
      <c r="H407" s="31"/>
      <c r="I407" s="31"/>
      <c r="J407" s="31"/>
      <c r="K407" s="31"/>
      <c r="L407" s="31"/>
    </row>
    <row r="408" ht="15.75" customHeight="1">
      <c r="A408" s="31"/>
      <c r="B408" s="31"/>
      <c r="C408" s="31"/>
      <c r="D408" s="31"/>
      <c r="E408" s="31"/>
      <c r="F408" s="31"/>
      <c r="G408" s="31"/>
      <c r="H408" s="31"/>
      <c r="I408" s="31"/>
      <c r="J408" s="31"/>
      <c r="K408" s="31"/>
      <c r="L408" s="31"/>
    </row>
    <row r="409" ht="15.75" customHeight="1">
      <c r="A409" s="31"/>
      <c r="B409" s="31"/>
      <c r="C409" s="31"/>
      <c r="D409" s="31"/>
      <c r="E409" s="31"/>
      <c r="F409" s="31"/>
      <c r="G409" s="31"/>
      <c r="H409" s="31"/>
      <c r="I409" s="31"/>
      <c r="J409" s="31"/>
      <c r="K409" s="31"/>
      <c r="L409" s="31"/>
    </row>
    <row r="410" ht="15.75" customHeight="1">
      <c r="A410" s="31"/>
      <c r="B410" s="31"/>
      <c r="C410" s="31"/>
      <c r="D410" s="31"/>
      <c r="E410" s="31"/>
      <c r="F410" s="31"/>
      <c r="G410" s="31"/>
      <c r="H410" s="31"/>
      <c r="I410" s="31"/>
      <c r="J410" s="31"/>
      <c r="K410" s="31"/>
      <c r="L410" s="31"/>
    </row>
    <row r="411" ht="15.75" customHeight="1">
      <c r="A411" s="31"/>
      <c r="B411" s="31"/>
      <c r="C411" s="31"/>
      <c r="D411" s="31"/>
      <c r="E411" s="31"/>
      <c r="F411" s="31"/>
      <c r="G411" s="31"/>
      <c r="H411" s="31"/>
      <c r="I411" s="31"/>
      <c r="J411" s="31"/>
      <c r="K411" s="31"/>
      <c r="L411" s="31"/>
    </row>
    <row r="412" ht="15.75" customHeight="1">
      <c r="A412" s="31"/>
      <c r="B412" s="31"/>
      <c r="C412" s="31"/>
      <c r="D412" s="31"/>
      <c r="E412" s="31"/>
      <c r="F412" s="31"/>
      <c r="G412" s="31"/>
      <c r="H412" s="31"/>
      <c r="I412" s="31"/>
      <c r="J412" s="31"/>
      <c r="K412" s="31"/>
      <c r="L412" s="31"/>
    </row>
    <row r="413" ht="15.75" customHeight="1">
      <c r="A413" s="31"/>
      <c r="B413" s="31"/>
      <c r="C413" s="31"/>
      <c r="D413" s="31"/>
      <c r="E413" s="31"/>
      <c r="F413" s="31"/>
      <c r="G413" s="31"/>
      <c r="H413" s="31"/>
      <c r="I413" s="31"/>
      <c r="J413" s="31"/>
      <c r="K413" s="31"/>
      <c r="L413" s="31"/>
    </row>
    <row r="414" ht="15.75" customHeight="1">
      <c r="A414" s="31"/>
      <c r="B414" s="31"/>
      <c r="C414" s="31"/>
      <c r="D414" s="31"/>
      <c r="E414" s="31"/>
      <c r="F414" s="31"/>
      <c r="G414" s="31"/>
      <c r="H414" s="31"/>
      <c r="I414" s="31"/>
      <c r="J414" s="31"/>
      <c r="K414" s="31"/>
      <c r="L414" s="31"/>
    </row>
    <row r="415" ht="15.75" customHeight="1">
      <c r="A415" s="31"/>
      <c r="B415" s="31"/>
      <c r="C415" s="31"/>
      <c r="D415" s="31"/>
      <c r="E415" s="31"/>
      <c r="F415" s="31"/>
      <c r="G415" s="31"/>
      <c r="H415" s="31"/>
      <c r="I415" s="31"/>
      <c r="J415" s="31"/>
      <c r="K415" s="31"/>
      <c r="L415" s="31"/>
    </row>
    <row r="416" ht="15.75" customHeight="1">
      <c r="A416" s="31"/>
      <c r="B416" s="31"/>
      <c r="C416" s="31"/>
      <c r="D416" s="31"/>
      <c r="E416" s="31"/>
      <c r="F416" s="31"/>
      <c r="G416" s="31"/>
      <c r="H416" s="31"/>
      <c r="I416" s="31"/>
      <c r="J416" s="31"/>
      <c r="K416" s="31"/>
      <c r="L416" s="31"/>
    </row>
    <row r="417" ht="15.75" customHeight="1">
      <c r="A417" s="31"/>
      <c r="B417" s="31"/>
      <c r="C417" s="31"/>
      <c r="D417" s="31"/>
      <c r="E417" s="31"/>
      <c r="F417" s="31"/>
      <c r="G417" s="31"/>
      <c r="H417" s="31"/>
      <c r="I417" s="31"/>
      <c r="J417" s="31"/>
      <c r="K417" s="31"/>
      <c r="L417" s="31"/>
    </row>
    <row r="418" ht="15.75" customHeight="1">
      <c r="A418" s="31"/>
      <c r="B418" s="31"/>
      <c r="C418" s="31"/>
      <c r="D418" s="31"/>
      <c r="E418" s="31"/>
      <c r="F418" s="31"/>
      <c r="G418" s="31"/>
      <c r="H418" s="31"/>
      <c r="I418" s="31"/>
      <c r="J418" s="31"/>
      <c r="K418" s="31"/>
      <c r="L418" s="31"/>
    </row>
    <row r="419" ht="15.75" customHeight="1">
      <c r="A419" s="31"/>
      <c r="B419" s="31"/>
      <c r="C419" s="31"/>
      <c r="D419" s="31"/>
      <c r="E419" s="31"/>
      <c r="F419" s="31"/>
      <c r="G419" s="31"/>
      <c r="H419" s="31"/>
      <c r="I419" s="31"/>
      <c r="J419" s="31"/>
      <c r="K419" s="31"/>
      <c r="L419" s="31"/>
    </row>
    <row r="420" ht="15.75" customHeight="1">
      <c r="A420" s="31"/>
      <c r="B420" s="31"/>
      <c r="C420" s="31"/>
      <c r="D420" s="31"/>
      <c r="E420" s="31"/>
      <c r="F420" s="31"/>
      <c r="G420" s="31"/>
      <c r="H420" s="31"/>
      <c r="I420" s="31"/>
      <c r="J420" s="31"/>
      <c r="K420" s="31"/>
      <c r="L420" s="31"/>
    </row>
    <row r="421" ht="15.75" customHeight="1">
      <c r="A421" s="31"/>
      <c r="B421" s="31"/>
      <c r="C421" s="31"/>
      <c r="D421" s="31"/>
      <c r="E421" s="31"/>
      <c r="F421" s="31"/>
      <c r="G421" s="31"/>
      <c r="H421" s="31"/>
      <c r="I421" s="31"/>
      <c r="J421" s="31"/>
      <c r="K421" s="31"/>
      <c r="L421" s="31"/>
    </row>
    <row r="422" ht="15.75" customHeight="1">
      <c r="A422" s="31"/>
      <c r="B422" s="31"/>
      <c r="C422" s="31"/>
      <c r="D422" s="31"/>
      <c r="E422" s="31"/>
      <c r="F422" s="31"/>
      <c r="G422" s="31"/>
      <c r="H422" s="31"/>
      <c r="I422" s="31"/>
      <c r="J422" s="31"/>
      <c r="K422" s="31"/>
      <c r="L422" s="31"/>
    </row>
    <row r="423" ht="15.75" customHeight="1">
      <c r="A423" s="31"/>
      <c r="B423" s="31"/>
      <c r="C423" s="31"/>
      <c r="D423" s="31"/>
      <c r="E423" s="31"/>
      <c r="F423" s="31"/>
      <c r="G423" s="31"/>
      <c r="H423" s="31"/>
      <c r="I423" s="31"/>
      <c r="J423" s="31"/>
      <c r="K423" s="31"/>
      <c r="L423" s="31"/>
    </row>
    <row r="424" ht="15.75" customHeight="1">
      <c r="A424" s="31"/>
      <c r="B424" s="31"/>
      <c r="C424" s="31"/>
      <c r="D424" s="31"/>
      <c r="E424" s="31"/>
      <c r="F424" s="31"/>
      <c r="G424" s="31"/>
      <c r="H424" s="31"/>
      <c r="I424" s="31"/>
      <c r="J424" s="31"/>
      <c r="K424" s="31"/>
      <c r="L424" s="31"/>
    </row>
    <row r="425" ht="15.75" customHeight="1">
      <c r="A425" s="31"/>
      <c r="B425" s="31"/>
      <c r="C425" s="31"/>
      <c r="D425" s="31"/>
      <c r="E425" s="31"/>
      <c r="F425" s="31"/>
      <c r="G425" s="31"/>
      <c r="H425" s="31"/>
      <c r="I425" s="31"/>
      <c r="J425" s="31"/>
      <c r="K425" s="31"/>
      <c r="L425" s="31"/>
    </row>
    <row r="426" ht="15.75" customHeight="1">
      <c r="A426" s="31"/>
      <c r="B426" s="31"/>
      <c r="C426" s="31"/>
      <c r="D426" s="31"/>
      <c r="E426" s="31"/>
      <c r="F426" s="31"/>
      <c r="G426" s="31"/>
      <c r="H426" s="31"/>
      <c r="I426" s="31"/>
      <c r="J426" s="31"/>
      <c r="K426" s="31"/>
      <c r="L426" s="31"/>
    </row>
    <row r="427" ht="15.75" customHeight="1">
      <c r="A427" s="31"/>
      <c r="B427" s="31"/>
      <c r="C427" s="31"/>
      <c r="D427" s="31"/>
      <c r="E427" s="31"/>
      <c r="F427" s="31"/>
      <c r="G427" s="31"/>
      <c r="H427" s="31"/>
      <c r="I427" s="31"/>
      <c r="J427" s="31"/>
      <c r="K427" s="31"/>
      <c r="L427" s="31"/>
    </row>
    <row r="428" ht="15.75" customHeight="1">
      <c r="A428" s="31"/>
      <c r="B428" s="31"/>
      <c r="C428" s="31"/>
      <c r="D428" s="31"/>
      <c r="E428" s="31"/>
      <c r="F428" s="31"/>
      <c r="G428" s="31"/>
      <c r="H428" s="31"/>
      <c r="I428" s="31"/>
      <c r="J428" s="31"/>
      <c r="K428" s="31"/>
      <c r="L428" s="31"/>
    </row>
    <row r="429" ht="15.75" customHeight="1">
      <c r="A429" s="31"/>
      <c r="B429" s="31"/>
      <c r="C429" s="31"/>
      <c r="D429" s="31"/>
      <c r="E429" s="31"/>
      <c r="F429" s="31"/>
      <c r="G429" s="31"/>
      <c r="H429" s="31"/>
      <c r="I429" s="31"/>
      <c r="J429" s="31"/>
      <c r="K429" s="31"/>
      <c r="L429" s="31"/>
    </row>
    <row r="430" ht="15.75" customHeight="1">
      <c r="A430" s="31"/>
      <c r="B430" s="31"/>
      <c r="C430" s="31"/>
      <c r="D430" s="31"/>
      <c r="E430" s="31"/>
      <c r="F430" s="31"/>
      <c r="G430" s="31"/>
      <c r="H430" s="31"/>
      <c r="I430" s="31"/>
      <c r="J430" s="31"/>
      <c r="K430" s="31"/>
      <c r="L430" s="31"/>
    </row>
    <row r="431" ht="15.75" customHeight="1">
      <c r="A431" s="31"/>
      <c r="B431" s="31"/>
      <c r="C431" s="31"/>
      <c r="D431" s="31"/>
      <c r="E431" s="31"/>
      <c r="F431" s="31"/>
      <c r="G431" s="31"/>
      <c r="H431" s="31"/>
      <c r="I431" s="31"/>
      <c r="J431" s="31"/>
      <c r="K431" s="31"/>
      <c r="L431" s="31"/>
    </row>
    <row r="432" ht="15.75" customHeight="1">
      <c r="A432" s="31"/>
      <c r="B432" s="31"/>
      <c r="C432" s="31"/>
      <c r="D432" s="31"/>
      <c r="E432" s="31"/>
      <c r="F432" s="31"/>
      <c r="G432" s="31"/>
      <c r="H432" s="31"/>
      <c r="I432" s="31"/>
      <c r="J432" s="31"/>
      <c r="K432" s="31"/>
      <c r="L432" s="31"/>
    </row>
    <row r="433" ht="15.75" customHeight="1">
      <c r="A433" s="31"/>
      <c r="B433" s="31"/>
      <c r="C433" s="31"/>
      <c r="D433" s="31"/>
      <c r="E433" s="31"/>
      <c r="F433" s="31"/>
      <c r="G433" s="31"/>
      <c r="H433" s="31"/>
      <c r="I433" s="31"/>
      <c r="J433" s="31"/>
      <c r="K433" s="31"/>
      <c r="L433" s="31"/>
    </row>
    <row r="434" ht="15.75" customHeight="1">
      <c r="A434" s="31"/>
      <c r="B434" s="31"/>
      <c r="C434" s="31"/>
      <c r="D434" s="31"/>
      <c r="E434" s="31"/>
      <c r="F434" s="31"/>
      <c r="G434" s="31"/>
      <c r="H434" s="31"/>
      <c r="I434" s="31"/>
      <c r="J434" s="31"/>
      <c r="K434" s="31"/>
      <c r="L434" s="31"/>
    </row>
    <row r="435" ht="15.75" customHeight="1">
      <c r="A435" s="31"/>
      <c r="B435" s="31"/>
      <c r="C435" s="31"/>
      <c r="D435" s="31"/>
      <c r="E435" s="31"/>
      <c r="F435" s="31"/>
      <c r="G435" s="31"/>
      <c r="H435" s="31"/>
      <c r="I435" s="31"/>
      <c r="J435" s="31"/>
      <c r="K435" s="31"/>
      <c r="L435" s="31"/>
    </row>
    <row r="436" ht="15.75" customHeight="1">
      <c r="A436" s="31"/>
      <c r="B436" s="31"/>
      <c r="C436" s="31"/>
      <c r="D436" s="31"/>
      <c r="E436" s="31"/>
      <c r="F436" s="31"/>
      <c r="G436" s="31"/>
      <c r="H436" s="31"/>
      <c r="I436" s="31"/>
      <c r="J436" s="31"/>
      <c r="K436" s="31"/>
      <c r="L436" s="31"/>
    </row>
    <row r="437" ht="15.75" customHeight="1">
      <c r="A437" s="31"/>
      <c r="B437" s="31"/>
      <c r="C437" s="31"/>
      <c r="D437" s="31"/>
      <c r="E437" s="31"/>
      <c r="F437" s="31"/>
      <c r="G437" s="31"/>
      <c r="H437" s="31"/>
      <c r="I437" s="31"/>
      <c r="J437" s="31"/>
      <c r="K437" s="31"/>
      <c r="L437" s="31"/>
    </row>
    <row r="438" ht="15.75" customHeight="1">
      <c r="A438" s="31"/>
      <c r="B438" s="31"/>
      <c r="C438" s="31"/>
      <c r="D438" s="31"/>
      <c r="E438" s="31"/>
      <c r="F438" s="31"/>
      <c r="G438" s="31"/>
      <c r="H438" s="31"/>
      <c r="I438" s="31"/>
      <c r="J438" s="31"/>
      <c r="K438" s="31"/>
      <c r="L438" s="31"/>
    </row>
    <row r="439" ht="15.75" customHeight="1">
      <c r="A439" s="31"/>
      <c r="B439" s="31"/>
      <c r="C439" s="31"/>
      <c r="D439" s="31"/>
      <c r="E439" s="31"/>
      <c r="F439" s="31"/>
      <c r="G439" s="31"/>
      <c r="H439" s="31"/>
      <c r="I439" s="31"/>
      <c r="J439" s="31"/>
      <c r="K439" s="31"/>
      <c r="L439" s="31"/>
    </row>
    <row r="440" ht="15.75" customHeight="1">
      <c r="A440" s="31"/>
      <c r="B440" s="31"/>
      <c r="C440" s="31"/>
      <c r="D440" s="31"/>
      <c r="E440" s="31"/>
      <c r="F440" s="31"/>
      <c r="G440" s="31"/>
      <c r="H440" s="31"/>
      <c r="I440" s="31"/>
      <c r="J440" s="31"/>
      <c r="K440" s="31"/>
      <c r="L440" s="31"/>
    </row>
    <row r="441" ht="15.75" customHeight="1">
      <c r="A441" s="31"/>
      <c r="B441" s="31"/>
      <c r="C441" s="31"/>
      <c r="D441" s="31"/>
      <c r="E441" s="31"/>
      <c r="F441" s="31"/>
      <c r="G441" s="31"/>
      <c r="H441" s="31"/>
      <c r="I441" s="31"/>
      <c r="J441" s="31"/>
      <c r="K441" s="31"/>
      <c r="L441" s="31"/>
    </row>
    <row r="442" ht="15.75" customHeight="1">
      <c r="A442" s="31"/>
      <c r="B442" s="31"/>
      <c r="C442" s="31"/>
      <c r="D442" s="31"/>
      <c r="E442" s="31"/>
      <c r="F442" s="31"/>
      <c r="G442" s="31"/>
      <c r="H442" s="31"/>
      <c r="I442" s="31"/>
      <c r="J442" s="31"/>
      <c r="K442" s="31"/>
      <c r="L442" s="31"/>
    </row>
    <row r="443" ht="15.75" customHeight="1">
      <c r="A443" s="31"/>
      <c r="B443" s="31"/>
      <c r="C443" s="31"/>
      <c r="D443" s="31"/>
      <c r="E443" s="31"/>
      <c r="F443" s="31"/>
      <c r="G443" s="31"/>
      <c r="H443" s="31"/>
      <c r="I443" s="31"/>
      <c r="J443" s="31"/>
      <c r="K443" s="31"/>
      <c r="L443" s="31"/>
    </row>
    <row r="444" ht="15.75" customHeight="1">
      <c r="A444" s="31"/>
      <c r="B444" s="31"/>
      <c r="C444" s="31"/>
      <c r="D444" s="31"/>
      <c r="E444" s="31"/>
      <c r="F444" s="31"/>
      <c r="G444" s="31"/>
      <c r="H444" s="31"/>
      <c r="I444" s="31"/>
      <c r="J444" s="31"/>
      <c r="K444" s="31"/>
      <c r="L444" s="31"/>
    </row>
    <row r="445" ht="15.75" customHeight="1">
      <c r="A445" s="31"/>
      <c r="B445" s="31"/>
      <c r="C445" s="31"/>
      <c r="D445" s="31"/>
      <c r="E445" s="31"/>
      <c r="F445" s="31"/>
      <c r="G445" s="31"/>
      <c r="H445" s="31"/>
      <c r="I445" s="31"/>
      <c r="J445" s="31"/>
      <c r="K445" s="31"/>
      <c r="L445" s="31"/>
    </row>
    <row r="446" ht="15.75" customHeight="1">
      <c r="A446" s="31"/>
      <c r="B446" s="31"/>
      <c r="C446" s="31"/>
      <c r="D446" s="31"/>
      <c r="E446" s="31"/>
      <c r="F446" s="31"/>
      <c r="G446" s="31"/>
      <c r="H446" s="31"/>
      <c r="I446" s="31"/>
      <c r="J446" s="31"/>
      <c r="K446" s="31"/>
      <c r="L446" s="31"/>
    </row>
    <row r="447" ht="15.75" customHeight="1">
      <c r="A447" s="31"/>
      <c r="B447" s="31"/>
      <c r="C447" s="31"/>
      <c r="D447" s="31"/>
      <c r="E447" s="31"/>
      <c r="F447" s="31"/>
      <c r="G447" s="31"/>
      <c r="H447" s="31"/>
      <c r="I447" s="31"/>
      <c r="J447" s="31"/>
      <c r="K447" s="31"/>
      <c r="L447" s="31"/>
    </row>
    <row r="448" ht="15.75" customHeight="1">
      <c r="A448" s="31"/>
      <c r="B448" s="31"/>
      <c r="C448" s="31"/>
      <c r="D448" s="31"/>
      <c r="E448" s="31"/>
      <c r="F448" s="31"/>
      <c r="G448" s="31"/>
      <c r="H448" s="31"/>
      <c r="I448" s="31"/>
      <c r="J448" s="31"/>
      <c r="K448" s="31"/>
      <c r="L448" s="31"/>
    </row>
    <row r="449" ht="15.75" customHeight="1">
      <c r="A449" s="31"/>
      <c r="B449" s="31"/>
      <c r="C449" s="31"/>
      <c r="D449" s="31"/>
      <c r="E449" s="31"/>
      <c r="F449" s="31"/>
      <c r="G449" s="31"/>
      <c r="H449" s="31"/>
      <c r="I449" s="31"/>
      <c r="J449" s="31"/>
      <c r="K449" s="31"/>
      <c r="L449" s="31"/>
    </row>
    <row r="450" ht="15.75" customHeight="1">
      <c r="A450" s="31"/>
      <c r="B450" s="31"/>
      <c r="C450" s="31"/>
      <c r="D450" s="31"/>
      <c r="E450" s="31"/>
      <c r="F450" s="31"/>
      <c r="G450" s="31"/>
      <c r="H450" s="31"/>
      <c r="I450" s="31"/>
      <c r="J450" s="31"/>
      <c r="K450" s="31"/>
      <c r="L450" s="31"/>
    </row>
    <row r="451" ht="15.75" customHeight="1">
      <c r="A451" s="31"/>
      <c r="B451" s="31"/>
      <c r="C451" s="31"/>
      <c r="D451" s="31"/>
      <c r="E451" s="31"/>
      <c r="F451" s="31"/>
      <c r="G451" s="31"/>
      <c r="H451" s="31"/>
      <c r="I451" s="31"/>
      <c r="J451" s="31"/>
      <c r="K451" s="31"/>
      <c r="L451" s="31"/>
    </row>
    <row r="452" ht="15.75" customHeight="1">
      <c r="A452" s="31"/>
      <c r="B452" s="31"/>
      <c r="C452" s="31"/>
      <c r="D452" s="31"/>
      <c r="E452" s="31"/>
      <c r="F452" s="31"/>
      <c r="G452" s="31"/>
      <c r="H452" s="31"/>
      <c r="I452" s="31"/>
      <c r="J452" s="31"/>
      <c r="K452" s="31"/>
      <c r="L452" s="31"/>
    </row>
    <row r="453" ht="15.75" customHeight="1">
      <c r="A453" s="31"/>
      <c r="B453" s="31"/>
      <c r="C453" s="31"/>
      <c r="D453" s="31"/>
      <c r="E453" s="31"/>
      <c r="F453" s="31"/>
      <c r="G453" s="31"/>
      <c r="H453" s="31"/>
      <c r="I453" s="31"/>
      <c r="J453" s="31"/>
      <c r="K453" s="31"/>
      <c r="L453" s="31"/>
    </row>
    <row r="454" ht="15.75" customHeight="1">
      <c r="A454" s="31"/>
      <c r="B454" s="31"/>
      <c r="C454" s="31"/>
      <c r="D454" s="31"/>
      <c r="E454" s="31"/>
      <c r="F454" s="31"/>
      <c r="G454" s="31"/>
      <c r="H454" s="31"/>
      <c r="I454" s="31"/>
      <c r="J454" s="31"/>
      <c r="K454" s="31"/>
      <c r="L454" s="31"/>
    </row>
    <row r="455" ht="15.75" customHeight="1">
      <c r="A455" s="31"/>
      <c r="B455" s="31"/>
      <c r="C455" s="31"/>
      <c r="D455" s="31"/>
      <c r="E455" s="31"/>
      <c r="F455" s="31"/>
      <c r="G455" s="31"/>
      <c r="H455" s="31"/>
      <c r="I455" s="31"/>
      <c r="J455" s="31"/>
      <c r="K455" s="31"/>
      <c r="L455" s="31"/>
    </row>
    <row r="456" ht="15.75" customHeight="1">
      <c r="A456" s="31"/>
      <c r="B456" s="31"/>
      <c r="C456" s="31"/>
      <c r="D456" s="31"/>
      <c r="E456" s="31"/>
      <c r="F456" s="31"/>
      <c r="G456" s="31"/>
      <c r="H456" s="31"/>
      <c r="I456" s="31"/>
      <c r="J456" s="31"/>
      <c r="K456" s="31"/>
      <c r="L456" s="31"/>
    </row>
    <row r="457" ht="15.75" customHeight="1">
      <c r="A457" s="31"/>
      <c r="B457" s="31"/>
      <c r="C457" s="31"/>
      <c r="D457" s="31"/>
      <c r="E457" s="31"/>
      <c r="F457" s="31"/>
      <c r="G457" s="31"/>
      <c r="H457" s="31"/>
      <c r="I457" s="31"/>
      <c r="J457" s="31"/>
      <c r="K457" s="31"/>
      <c r="L457" s="31"/>
    </row>
    <row r="458" ht="15.75" customHeight="1">
      <c r="A458" s="31"/>
      <c r="B458" s="31"/>
      <c r="C458" s="31"/>
      <c r="D458" s="31"/>
      <c r="E458" s="31"/>
      <c r="F458" s="31"/>
      <c r="G458" s="31"/>
      <c r="H458" s="31"/>
      <c r="I458" s="31"/>
      <c r="J458" s="31"/>
      <c r="K458" s="31"/>
      <c r="L458" s="31"/>
    </row>
    <row r="459" ht="15.75" customHeight="1">
      <c r="A459" s="31"/>
      <c r="B459" s="31"/>
      <c r="C459" s="31"/>
      <c r="D459" s="31"/>
      <c r="E459" s="31"/>
      <c r="F459" s="31"/>
      <c r="G459" s="31"/>
      <c r="H459" s="31"/>
      <c r="I459" s="31"/>
      <c r="J459" s="31"/>
      <c r="K459" s="31"/>
      <c r="L459" s="31"/>
    </row>
    <row r="460" ht="15.75" customHeight="1">
      <c r="A460" s="31"/>
      <c r="B460" s="31"/>
      <c r="C460" s="31"/>
      <c r="D460" s="31"/>
      <c r="E460" s="31"/>
      <c r="F460" s="31"/>
      <c r="G460" s="31"/>
      <c r="H460" s="31"/>
      <c r="I460" s="31"/>
      <c r="J460" s="31"/>
      <c r="K460" s="31"/>
      <c r="L460" s="31"/>
    </row>
    <row r="461" ht="15.75" customHeight="1">
      <c r="A461" s="31"/>
      <c r="B461" s="31"/>
      <c r="C461" s="31"/>
      <c r="D461" s="31"/>
      <c r="E461" s="31"/>
      <c r="F461" s="31"/>
      <c r="G461" s="31"/>
      <c r="H461" s="31"/>
      <c r="I461" s="31"/>
      <c r="J461" s="31"/>
      <c r="K461" s="31"/>
      <c r="L461" s="31"/>
    </row>
    <row r="462" ht="15.75" customHeight="1">
      <c r="A462" s="31"/>
      <c r="B462" s="31"/>
      <c r="C462" s="31"/>
      <c r="D462" s="31"/>
      <c r="E462" s="31"/>
      <c r="F462" s="31"/>
      <c r="G462" s="31"/>
      <c r="H462" s="31"/>
      <c r="I462" s="31"/>
      <c r="J462" s="31"/>
      <c r="K462" s="31"/>
      <c r="L462" s="31"/>
    </row>
    <row r="463" ht="15.75" customHeight="1">
      <c r="A463" s="31"/>
      <c r="B463" s="31"/>
      <c r="C463" s="31"/>
      <c r="D463" s="31"/>
      <c r="E463" s="31"/>
      <c r="F463" s="31"/>
      <c r="G463" s="31"/>
      <c r="H463" s="31"/>
      <c r="I463" s="31"/>
      <c r="J463" s="31"/>
      <c r="K463" s="31"/>
      <c r="L463" s="31"/>
    </row>
    <row r="464" ht="15.75" customHeight="1">
      <c r="A464" s="31"/>
      <c r="B464" s="31"/>
      <c r="C464" s="31"/>
      <c r="D464" s="31"/>
      <c r="E464" s="31"/>
      <c r="F464" s="31"/>
      <c r="G464" s="31"/>
      <c r="H464" s="31"/>
      <c r="I464" s="31"/>
      <c r="J464" s="31"/>
      <c r="K464" s="31"/>
      <c r="L464" s="31"/>
    </row>
    <row r="465" ht="15.75" customHeight="1">
      <c r="A465" s="31"/>
      <c r="B465" s="31"/>
      <c r="C465" s="31"/>
      <c r="D465" s="31"/>
      <c r="E465" s="31"/>
      <c r="F465" s="31"/>
      <c r="G465" s="31"/>
      <c r="H465" s="31"/>
      <c r="I465" s="31"/>
      <c r="J465" s="31"/>
      <c r="K465" s="31"/>
      <c r="L465" s="31"/>
    </row>
    <row r="466" ht="15.75" customHeight="1">
      <c r="A466" s="31"/>
      <c r="B466" s="31"/>
      <c r="C466" s="31"/>
      <c r="D466" s="31"/>
      <c r="E466" s="31"/>
      <c r="F466" s="31"/>
      <c r="G466" s="31"/>
      <c r="H466" s="31"/>
      <c r="I466" s="31"/>
      <c r="J466" s="31"/>
      <c r="K466" s="31"/>
      <c r="L466" s="31"/>
    </row>
    <row r="467" ht="15.75" customHeight="1">
      <c r="A467" s="31"/>
      <c r="B467" s="31"/>
      <c r="C467" s="31"/>
      <c r="D467" s="31"/>
      <c r="E467" s="31"/>
      <c r="F467" s="31"/>
      <c r="G467" s="31"/>
      <c r="H467" s="31"/>
      <c r="I467" s="31"/>
      <c r="J467" s="31"/>
      <c r="K467" s="31"/>
      <c r="L467" s="31"/>
    </row>
    <row r="468" ht="15.75" customHeight="1">
      <c r="A468" s="31"/>
      <c r="B468" s="31"/>
      <c r="C468" s="31"/>
      <c r="D468" s="31"/>
      <c r="E468" s="31"/>
      <c r="F468" s="31"/>
      <c r="G468" s="31"/>
      <c r="H468" s="31"/>
      <c r="I468" s="31"/>
      <c r="J468" s="31"/>
      <c r="K468" s="31"/>
      <c r="L468" s="31"/>
    </row>
    <row r="469" ht="15.75" customHeight="1">
      <c r="A469" s="31"/>
      <c r="B469" s="31"/>
      <c r="C469" s="31"/>
      <c r="D469" s="31"/>
      <c r="E469" s="31"/>
      <c r="F469" s="31"/>
      <c r="G469" s="31"/>
      <c r="H469" s="31"/>
      <c r="I469" s="31"/>
      <c r="J469" s="31"/>
      <c r="K469" s="31"/>
      <c r="L469" s="31"/>
    </row>
    <row r="470" ht="15.75" customHeight="1">
      <c r="A470" s="31"/>
      <c r="B470" s="31"/>
      <c r="C470" s="31"/>
      <c r="D470" s="31"/>
      <c r="E470" s="31"/>
      <c r="F470" s="31"/>
      <c r="G470" s="31"/>
      <c r="H470" s="31"/>
      <c r="I470" s="31"/>
      <c r="J470" s="31"/>
      <c r="K470" s="31"/>
      <c r="L470" s="31"/>
    </row>
    <row r="471" ht="15.75" customHeight="1">
      <c r="A471" s="31"/>
      <c r="B471" s="31"/>
      <c r="C471" s="31"/>
      <c r="D471" s="31"/>
      <c r="E471" s="31"/>
      <c r="F471" s="31"/>
      <c r="G471" s="31"/>
      <c r="H471" s="31"/>
      <c r="I471" s="31"/>
      <c r="J471" s="31"/>
      <c r="K471" s="31"/>
      <c r="L471" s="31"/>
    </row>
    <row r="472" ht="15.75" customHeight="1">
      <c r="A472" s="31"/>
      <c r="B472" s="31"/>
      <c r="C472" s="31"/>
      <c r="D472" s="31"/>
      <c r="E472" s="31"/>
      <c r="F472" s="31"/>
      <c r="G472" s="31"/>
      <c r="H472" s="31"/>
      <c r="I472" s="31"/>
      <c r="J472" s="31"/>
      <c r="K472" s="31"/>
      <c r="L472" s="31"/>
    </row>
    <row r="473" ht="15.75" customHeight="1">
      <c r="A473" s="31"/>
      <c r="B473" s="31"/>
      <c r="C473" s="31"/>
      <c r="D473" s="31"/>
      <c r="E473" s="31"/>
      <c r="F473" s="31"/>
      <c r="G473" s="31"/>
      <c r="H473" s="31"/>
      <c r="I473" s="31"/>
      <c r="J473" s="31"/>
      <c r="K473" s="31"/>
      <c r="L473" s="31"/>
    </row>
    <row r="474" ht="15.75" customHeight="1">
      <c r="A474" s="31"/>
      <c r="B474" s="31"/>
      <c r="C474" s="31"/>
      <c r="D474" s="31"/>
      <c r="E474" s="31"/>
      <c r="F474" s="31"/>
      <c r="G474" s="31"/>
      <c r="H474" s="31"/>
      <c r="I474" s="31"/>
      <c r="J474" s="31"/>
      <c r="K474" s="31"/>
      <c r="L474" s="31"/>
    </row>
    <row r="475" ht="15.75" customHeight="1">
      <c r="A475" s="31"/>
      <c r="B475" s="31"/>
      <c r="C475" s="31"/>
      <c r="D475" s="31"/>
      <c r="E475" s="31"/>
      <c r="F475" s="31"/>
      <c r="G475" s="31"/>
      <c r="H475" s="31"/>
      <c r="I475" s="31"/>
      <c r="J475" s="31"/>
      <c r="K475" s="31"/>
      <c r="L475" s="31"/>
    </row>
    <row r="476" ht="15.75" customHeight="1">
      <c r="A476" s="31"/>
      <c r="B476" s="31"/>
      <c r="C476" s="31"/>
      <c r="D476" s="31"/>
      <c r="E476" s="31"/>
      <c r="F476" s="31"/>
      <c r="G476" s="31"/>
      <c r="H476" s="31"/>
      <c r="I476" s="31"/>
      <c r="J476" s="31"/>
      <c r="K476" s="31"/>
      <c r="L476" s="31"/>
    </row>
    <row r="477" ht="15.75" customHeight="1">
      <c r="A477" s="31"/>
      <c r="B477" s="31"/>
      <c r="C477" s="31"/>
      <c r="D477" s="31"/>
      <c r="E477" s="31"/>
      <c r="F477" s="31"/>
      <c r="G477" s="31"/>
      <c r="H477" s="31"/>
      <c r="I477" s="31"/>
      <c r="J477" s="31"/>
      <c r="K477" s="31"/>
      <c r="L477" s="31"/>
    </row>
    <row r="478" ht="15.75" customHeight="1">
      <c r="A478" s="31"/>
      <c r="B478" s="31"/>
      <c r="C478" s="31"/>
      <c r="D478" s="31"/>
      <c r="E478" s="31"/>
      <c r="F478" s="31"/>
      <c r="G478" s="31"/>
      <c r="H478" s="31"/>
      <c r="I478" s="31"/>
      <c r="J478" s="31"/>
      <c r="K478" s="31"/>
      <c r="L478" s="31"/>
    </row>
    <row r="479" ht="15.75" customHeight="1">
      <c r="A479" s="31"/>
      <c r="B479" s="31"/>
      <c r="C479" s="31"/>
      <c r="D479" s="31"/>
      <c r="E479" s="31"/>
      <c r="F479" s="31"/>
      <c r="G479" s="31"/>
      <c r="H479" s="31"/>
      <c r="I479" s="31"/>
      <c r="J479" s="31"/>
      <c r="K479" s="31"/>
      <c r="L479" s="31"/>
    </row>
    <row r="480" ht="15.75" customHeight="1">
      <c r="A480" s="31"/>
      <c r="B480" s="31"/>
      <c r="C480" s="31"/>
      <c r="D480" s="31"/>
      <c r="E480" s="31"/>
      <c r="F480" s="31"/>
      <c r="G480" s="31"/>
      <c r="H480" s="31"/>
      <c r="I480" s="31"/>
      <c r="J480" s="31"/>
      <c r="K480" s="31"/>
      <c r="L480" s="31"/>
    </row>
    <row r="481" ht="15.75" customHeight="1">
      <c r="A481" s="31"/>
      <c r="B481" s="31"/>
      <c r="C481" s="31"/>
      <c r="D481" s="31"/>
      <c r="E481" s="31"/>
      <c r="F481" s="31"/>
      <c r="G481" s="31"/>
      <c r="H481" s="31"/>
      <c r="I481" s="31"/>
      <c r="J481" s="31"/>
      <c r="K481" s="31"/>
      <c r="L481" s="31"/>
    </row>
    <row r="482" ht="15.75" customHeight="1">
      <c r="A482" s="31"/>
      <c r="B482" s="31"/>
      <c r="C482" s="31"/>
      <c r="D482" s="31"/>
      <c r="E482" s="31"/>
      <c r="F482" s="31"/>
      <c r="G482" s="31"/>
      <c r="H482" s="31"/>
      <c r="I482" s="31"/>
      <c r="J482" s="31"/>
      <c r="K482" s="31"/>
      <c r="L482" s="31"/>
    </row>
    <row r="483" ht="15.75" customHeight="1">
      <c r="A483" s="31"/>
      <c r="B483" s="31"/>
      <c r="C483" s="31"/>
      <c r="D483" s="31"/>
      <c r="E483" s="31"/>
      <c r="F483" s="31"/>
      <c r="G483" s="31"/>
      <c r="H483" s="31"/>
      <c r="I483" s="31"/>
      <c r="J483" s="31"/>
      <c r="K483" s="31"/>
      <c r="L483" s="31"/>
    </row>
    <row r="484" ht="15.75" customHeight="1">
      <c r="A484" s="31"/>
      <c r="B484" s="31"/>
      <c r="C484" s="31"/>
      <c r="D484" s="31"/>
      <c r="E484" s="31"/>
      <c r="F484" s="31"/>
      <c r="G484" s="31"/>
      <c r="H484" s="31"/>
      <c r="I484" s="31"/>
      <c r="J484" s="31"/>
      <c r="K484" s="31"/>
      <c r="L484" s="31"/>
    </row>
    <row r="485" ht="15.75" customHeight="1">
      <c r="A485" s="31"/>
      <c r="B485" s="31"/>
      <c r="C485" s="31"/>
      <c r="D485" s="31"/>
      <c r="E485" s="31"/>
      <c r="F485" s="31"/>
      <c r="G485" s="31"/>
      <c r="H485" s="31"/>
      <c r="I485" s="31"/>
      <c r="J485" s="31"/>
      <c r="K485" s="31"/>
      <c r="L485" s="31"/>
    </row>
    <row r="486" ht="15.75" customHeight="1">
      <c r="A486" s="31"/>
      <c r="B486" s="31"/>
      <c r="C486" s="31"/>
      <c r="D486" s="31"/>
      <c r="E486" s="31"/>
      <c r="F486" s="31"/>
      <c r="G486" s="31"/>
      <c r="H486" s="31"/>
      <c r="I486" s="31"/>
      <c r="J486" s="31"/>
      <c r="K486" s="31"/>
      <c r="L486" s="31"/>
    </row>
    <row r="487" ht="15.75" customHeight="1">
      <c r="A487" s="31"/>
      <c r="B487" s="31"/>
      <c r="C487" s="31"/>
      <c r="D487" s="31"/>
      <c r="E487" s="31"/>
      <c r="F487" s="31"/>
      <c r="G487" s="31"/>
      <c r="H487" s="31"/>
      <c r="I487" s="31"/>
      <c r="J487" s="31"/>
      <c r="K487" s="31"/>
      <c r="L487" s="31"/>
    </row>
    <row r="488" ht="15.75" customHeight="1">
      <c r="A488" s="31"/>
      <c r="B488" s="31"/>
      <c r="C488" s="31"/>
      <c r="D488" s="31"/>
      <c r="E488" s="31"/>
      <c r="F488" s="31"/>
      <c r="G488" s="31"/>
      <c r="H488" s="31"/>
      <c r="I488" s="31"/>
      <c r="J488" s="31"/>
      <c r="K488" s="31"/>
      <c r="L488" s="31"/>
    </row>
    <row r="489" ht="15.75" customHeight="1">
      <c r="A489" s="31"/>
      <c r="B489" s="31"/>
      <c r="C489" s="31"/>
      <c r="D489" s="31"/>
      <c r="E489" s="31"/>
      <c r="F489" s="31"/>
      <c r="G489" s="31"/>
      <c r="H489" s="31"/>
      <c r="I489" s="31"/>
      <c r="J489" s="31"/>
      <c r="K489" s="31"/>
      <c r="L489" s="31"/>
    </row>
    <row r="490" ht="15.75" customHeight="1">
      <c r="A490" s="31"/>
      <c r="B490" s="31"/>
      <c r="C490" s="31"/>
      <c r="D490" s="31"/>
      <c r="E490" s="31"/>
      <c r="F490" s="31"/>
      <c r="G490" s="31"/>
      <c r="H490" s="31"/>
      <c r="I490" s="31"/>
      <c r="J490" s="31"/>
      <c r="K490" s="31"/>
      <c r="L490" s="31"/>
    </row>
    <row r="491" ht="15.75" customHeight="1">
      <c r="A491" s="31"/>
      <c r="B491" s="31"/>
      <c r="C491" s="31"/>
      <c r="D491" s="31"/>
      <c r="E491" s="31"/>
      <c r="F491" s="31"/>
      <c r="G491" s="31"/>
      <c r="H491" s="31"/>
      <c r="I491" s="31"/>
      <c r="J491" s="31"/>
      <c r="K491" s="31"/>
      <c r="L491" s="31"/>
    </row>
    <row r="492" ht="15.75" customHeight="1">
      <c r="A492" s="31"/>
      <c r="B492" s="31"/>
      <c r="C492" s="31"/>
      <c r="D492" s="31"/>
      <c r="E492" s="31"/>
      <c r="F492" s="31"/>
      <c r="G492" s="31"/>
      <c r="H492" s="31"/>
      <c r="I492" s="31"/>
      <c r="J492" s="31"/>
      <c r="K492" s="31"/>
      <c r="L492" s="31"/>
    </row>
    <row r="493" ht="15.75" customHeight="1">
      <c r="A493" s="31"/>
      <c r="B493" s="31"/>
      <c r="C493" s="31"/>
      <c r="D493" s="31"/>
      <c r="E493" s="31"/>
      <c r="F493" s="31"/>
      <c r="G493" s="31"/>
      <c r="H493" s="31"/>
      <c r="I493" s="31"/>
      <c r="J493" s="31"/>
      <c r="K493" s="31"/>
      <c r="L493" s="31"/>
    </row>
    <row r="494" ht="15.75" customHeight="1">
      <c r="A494" s="31"/>
      <c r="B494" s="31"/>
      <c r="C494" s="31"/>
      <c r="D494" s="31"/>
      <c r="E494" s="31"/>
      <c r="F494" s="31"/>
      <c r="G494" s="31"/>
      <c r="H494" s="31"/>
      <c r="I494" s="31"/>
      <c r="J494" s="31"/>
      <c r="K494" s="31"/>
      <c r="L494" s="31"/>
    </row>
    <row r="495" ht="15.75" customHeight="1">
      <c r="A495" s="31"/>
      <c r="B495" s="31"/>
      <c r="C495" s="31"/>
      <c r="D495" s="31"/>
      <c r="E495" s="31"/>
      <c r="F495" s="31"/>
      <c r="G495" s="31"/>
      <c r="H495" s="31"/>
      <c r="I495" s="31"/>
      <c r="J495" s="31"/>
      <c r="K495" s="31"/>
      <c r="L495" s="31"/>
    </row>
    <row r="496" ht="15.75" customHeight="1">
      <c r="A496" s="31"/>
      <c r="B496" s="31"/>
      <c r="C496" s="31"/>
      <c r="D496" s="31"/>
      <c r="E496" s="31"/>
      <c r="F496" s="31"/>
      <c r="G496" s="31"/>
      <c r="H496" s="31"/>
      <c r="I496" s="31"/>
      <c r="J496" s="31"/>
      <c r="K496" s="31"/>
      <c r="L496" s="31"/>
    </row>
    <row r="497" ht="15.75" customHeight="1">
      <c r="A497" s="31"/>
      <c r="B497" s="31"/>
      <c r="C497" s="31"/>
      <c r="D497" s="31"/>
      <c r="E497" s="31"/>
      <c r="F497" s="31"/>
      <c r="G497" s="31"/>
      <c r="H497" s="31"/>
      <c r="I497" s="31"/>
      <c r="J497" s="31"/>
      <c r="K497" s="31"/>
      <c r="L497" s="31"/>
    </row>
    <row r="498" ht="15.75" customHeight="1">
      <c r="A498" s="31"/>
      <c r="B498" s="31"/>
      <c r="C498" s="31"/>
      <c r="D498" s="31"/>
      <c r="E498" s="31"/>
      <c r="F498" s="31"/>
      <c r="G498" s="31"/>
      <c r="H498" s="31"/>
      <c r="I498" s="31"/>
      <c r="J498" s="31"/>
      <c r="K498" s="31"/>
      <c r="L498" s="31"/>
    </row>
    <row r="499" ht="15.75" customHeight="1">
      <c r="A499" s="31"/>
      <c r="B499" s="31"/>
      <c r="C499" s="31"/>
      <c r="D499" s="31"/>
      <c r="E499" s="31"/>
      <c r="F499" s="31"/>
      <c r="G499" s="31"/>
      <c r="H499" s="31"/>
      <c r="I499" s="31"/>
      <c r="J499" s="31"/>
      <c r="K499" s="31"/>
      <c r="L499" s="31"/>
    </row>
    <row r="500" ht="15.75" customHeight="1">
      <c r="A500" s="31"/>
      <c r="B500" s="31"/>
      <c r="C500" s="31"/>
      <c r="D500" s="31"/>
      <c r="E500" s="31"/>
      <c r="F500" s="31"/>
      <c r="G500" s="31"/>
      <c r="H500" s="31"/>
      <c r="I500" s="31"/>
      <c r="J500" s="31"/>
      <c r="K500" s="31"/>
      <c r="L500" s="31"/>
    </row>
    <row r="501" ht="15.75" customHeight="1">
      <c r="A501" s="31"/>
      <c r="B501" s="31"/>
      <c r="C501" s="31"/>
      <c r="D501" s="31"/>
      <c r="E501" s="31"/>
      <c r="F501" s="31"/>
      <c r="G501" s="31"/>
      <c r="H501" s="31"/>
      <c r="I501" s="31"/>
      <c r="J501" s="31"/>
      <c r="K501" s="31"/>
      <c r="L501" s="31"/>
    </row>
    <row r="502" ht="15.75" customHeight="1">
      <c r="A502" s="31"/>
      <c r="B502" s="31"/>
      <c r="C502" s="31"/>
      <c r="D502" s="31"/>
      <c r="E502" s="31"/>
      <c r="F502" s="31"/>
      <c r="G502" s="31"/>
      <c r="H502" s="31"/>
      <c r="I502" s="31"/>
      <c r="J502" s="31"/>
      <c r="K502" s="31"/>
      <c r="L502" s="31"/>
    </row>
    <row r="503" ht="15.75" customHeight="1">
      <c r="A503" s="31"/>
      <c r="B503" s="31"/>
      <c r="C503" s="31"/>
      <c r="D503" s="31"/>
      <c r="E503" s="31"/>
      <c r="F503" s="31"/>
      <c r="G503" s="31"/>
      <c r="H503" s="31"/>
      <c r="I503" s="31"/>
      <c r="J503" s="31"/>
      <c r="K503" s="31"/>
      <c r="L503" s="31"/>
    </row>
    <row r="504" ht="15.75" customHeight="1">
      <c r="A504" s="31"/>
      <c r="B504" s="31"/>
      <c r="C504" s="31"/>
      <c r="D504" s="31"/>
      <c r="E504" s="31"/>
      <c r="F504" s="31"/>
      <c r="G504" s="31"/>
      <c r="H504" s="31"/>
      <c r="I504" s="31"/>
      <c r="J504" s="31"/>
      <c r="K504" s="31"/>
      <c r="L504" s="31"/>
    </row>
    <row r="505" ht="15.75" customHeight="1">
      <c r="A505" s="31"/>
      <c r="B505" s="31"/>
      <c r="C505" s="31"/>
      <c r="D505" s="31"/>
      <c r="E505" s="31"/>
      <c r="F505" s="31"/>
      <c r="G505" s="31"/>
      <c r="H505" s="31"/>
      <c r="I505" s="31"/>
      <c r="J505" s="31"/>
      <c r="K505" s="31"/>
      <c r="L505" s="31"/>
    </row>
    <row r="506" ht="15.75" customHeight="1">
      <c r="A506" s="31"/>
      <c r="B506" s="31"/>
      <c r="C506" s="31"/>
      <c r="D506" s="31"/>
      <c r="E506" s="31"/>
      <c r="F506" s="31"/>
      <c r="G506" s="31"/>
      <c r="H506" s="31"/>
      <c r="I506" s="31"/>
      <c r="J506" s="31"/>
      <c r="K506" s="31"/>
      <c r="L506" s="31"/>
    </row>
    <row r="507" ht="15.75" customHeight="1">
      <c r="A507" s="31"/>
      <c r="B507" s="31"/>
      <c r="C507" s="31"/>
      <c r="D507" s="31"/>
      <c r="E507" s="31"/>
      <c r="F507" s="31"/>
      <c r="G507" s="31"/>
      <c r="H507" s="31"/>
      <c r="I507" s="31"/>
      <c r="J507" s="31"/>
      <c r="K507" s="31"/>
      <c r="L507" s="31"/>
    </row>
    <row r="508" ht="15.75" customHeight="1">
      <c r="A508" s="31"/>
      <c r="B508" s="31"/>
      <c r="C508" s="31"/>
      <c r="D508" s="31"/>
      <c r="E508" s="31"/>
      <c r="F508" s="31"/>
      <c r="G508" s="31"/>
      <c r="H508" s="31"/>
      <c r="I508" s="31"/>
      <c r="J508" s="31"/>
      <c r="K508" s="31"/>
      <c r="L508" s="31"/>
    </row>
    <row r="509" ht="15.75" customHeight="1">
      <c r="A509" s="31"/>
      <c r="B509" s="31"/>
      <c r="C509" s="31"/>
      <c r="D509" s="31"/>
      <c r="E509" s="31"/>
      <c r="F509" s="31"/>
      <c r="G509" s="31"/>
      <c r="H509" s="31"/>
      <c r="I509" s="31"/>
      <c r="J509" s="31"/>
      <c r="K509" s="31"/>
      <c r="L509" s="31"/>
    </row>
    <row r="510" ht="15.75" customHeight="1">
      <c r="A510" s="31"/>
      <c r="B510" s="31"/>
      <c r="C510" s="31"/>
      <c r="D510" s="31"/>
      <c r="E510" s="31"/>
      <c r="F510" s="31"/>
      <c r="G510" s="31"/>
      <c r="H510" s="31"/>
      <c r="I510" s="31"/>
      <c r="J510" s="31"/>
      <c r="K510" s="31"/>
      <c r="L510" s="31"/>
    </row>
    <row r="511" ht="15.75" customHeight="1">
      <c r="A511" s="31"/>
      <c r="B511" s="31"/>
      <c r="C511" s="31"/>
      <c r="D511" s="31"/>
      <c r="E511" s="31"/>
      <c r="F511" s="31"/>
      <c r="G511" s="31"/>
      <c r="H511" s="31"/>
      <c r="I511" s="31"/>
      <c r="J511" s="31"/>
      <c r="K511" s="31"/>
      <c r="L511" s="31"/>
    </row>
    <row r="512" ht="15.75" customHeight="1">
      <c r="A512" s="31"/>
      <c r="B512" s="31"/>
      <c r="C512" s="31"/>
      <c r="D512" s="31"/>
      <c r="E512" s="31"/>
      <c r="F512" s="31"/>
      <c r="G512" s="31"/>
      <c r="H512" s="31"/>
      <c r="I512" s="31"/>
      <c r="J512" s="31"/>
      <c r="K512" s="31"/>
      <c r="L512" s="31"/>
    </row>
    <row r="513" ht="15.75" customHeight="1">
      <c r="A513" s="31"/>
      <c r="B513" s="31"/>
      <c r="C513" s="31"/>
      <c r="D513" s="31"/>
      <c r="E513" s="31"/>
      <c r="F513" s="31"/>
      <c r="G513" s="31"/>
      <c r="H513" s="31"/>
      <c r="I513" s="31"/>
      <c r="J513" s="31"/>
      <c r="K513" s="31"/>
      <c r="L513" s="31"/>
    </row>
    <row r="514" ht="15.75" customHeight="1">
      <c r="A514" s="31"/>
      <c r="B514" s="31"/>
      <c r="C514" s="31"/>
      <c r="D514" s="31"/>
      <c r="E514" s="31"/>
      <c r="F514" s="31"/>
      <c r="G514" s="31"/>
      <c r="H514" s="31"/>
      <c r="I514" s="31"/>
      <c r="J514" s="31"/>
      <c r="K514" s="31"/>
      <c r="L514" s="31"/>
    </row>
    <row r="515" ht="15.75" customHeight="1">
      <c r="A515" s="31"/>
      <c r="B515" s="31"/>
      <c r="C515" s="31"/>
      <c r="D515" s="31"/>
      <c r="E515" s="31"/>
      <c r="F515" s="31"/>
      <c r="G515" s="31"/>
      <c r="H515" s="31"/>
      <c r="I515" s="31"/>
      <c r="J515" s="31"/>
      <c r="K515" s="31"/>
      <c r="L515" s="31"/>
    </row>
    <row r="516" ht="15.75" customHeight="1">
      <c r="A516" s="31"/>
      <c r="B516" s="31"/>
      <c r="C516" s="31"/>
      <c r="D516" s="31"/>
      <c r="E516" s="31"/>
      <c r="F516" s="31"/>
      <c r="G516" s="31"/>
      <c r="H516" s="31"/>
      <c r="I516" s="31"/>
      <c r="J516" s="31"/>
      <c r="K516" s="31"/>
      <c r="L516" s="31"/>
    </row>
    <row r="517" ht="15.75" customHeight="1">
      <c r="A517" s="31"/>
      <c r="B517" s="31"/>
      <c r="C517" s="31"/>
      <c r="D517" s="31"/>
      <c r="E517" s="31"/>
      <c r="F517" s="31"/>
      <c r="G517" s="31"/>
      <c r="H517" s="31"/>
      <c r="I517" s="31"/>
      <c r="J517" s="31"/>
      <c r="K517" s="31"/>
      <c r="L517" s="31"/>
    </row>
    <row r="518" ht="15.75" customHeight="1">
      <c r="A518" s="31"/>
      <c r="B518" s="31"/>
      <c r="C518" s="31"/>
      <c r="D518" s="31"/>
      <c r="E518" s="31"/>
      <c r="F518" s="31"/>
      <c r="G518" s="31"/>
      <c r="H518" s="31"/>
      <c r="I518" s="31"/>
      <c r="J518" s="31"/>
      <c r="K518" s="31"/>
      <c r="L518" s="31"/>
    </row>
    <row r="519" ht="15.75" customHeight="1">
      <c r="A519" s="31"/>
      <c r="B519" s="31"/>
      <c r="C519" s="31"/>
      <c r="D519" s="31"/>
      <c r="E519" s="31"/>
      <c r="F519" s="31"/>
      <c r="G519" s="31"/>
      <c r="H519" s="31"/>
      <c r="I519" s="31"/>
      <c r="J519" s="31"/>
      <c r="K519" s="31"/>
      <c r="L519" s="31"/>
    </row>
    <row r="520" ht="15.75" customHeight="1">
      <c r="A520" s="31"/>
      <c r="B520" s="31"/>
      <c r="C520" s="31"/>
      <c r="D520" s="31"/>
      <c r="E520" s="31"/>
      <c r="F520" s="31"/>
      <c r="G520" s="31"/>
      <c r="H520" s="31"/>
      <c r="I520" s="31"/>
      <c r="J520" s="31"/>
      <c r="K520" s="31"/>
      <c r="L520" s="31"/>
    </row>
    <row r="521" ht="15.75" customHeight="1">
      <c r="A521" s="31"/>
      <c r="B521" s="31"/>
      <c r="C521" s="31"/>
      <c r="D521" s="31"/>
      <c r="E521" s="31"/>
      <c r="F521" s="31"/>
      <c r="G521" s="31"/>
      <c r="H521" s="31"/>
      <c r="I521" s="31"/>
      <c r="J521" s="31"/>
      <c r="K521" s="31"/>
      <c r="L521" s="31"/>
    </row>
    <row r="522" ht="15.75" customHeight="1">
      <c r="A522" s="31"/>
      <c r="B522" s="31"/>
      <c r="C522" s="31"/>
      <c r="D522" s="31"/>
      <c r="E522" s="31"/>
      <c r="F522" s="31"/>
      <c r="G522" s="31"/>
      <c r="H522" s="31"/>
      <c r="I522" s="31"/>
      <c r="J522" s="31"/>
      <c r="K522" s="31"/>
      <c r="L522" s="31"/>
    </row>
    <row r="523" ht="15.75" customHeight="1">
      <c r="A523" s="31"/>
      <c r="B523" s="31"/>
      <c r="C523" s="31"/>
      <c r="D523" s="31"/>
      <c r="E523" s="31"/>
      <c r="F523" s="31"/>
      <c r="G523" s="31"/>
      <c r="H523" s="31"/>
      <c r="I523" s="31"/>
      <c r="J523" s="31"/>
      <c r="K523" s="31"/>
      <c r="L523" s="31"/>
    </row>
    <row r="524" ht="15.75" customHeight="1">
      <c r="A524" s="31"/>
      <c r="B524" s="31"/>
      <c r="C524" s="31"/>
      <c r="D524" s="31"/>
      <c r="E524" s="31"/>
      <c r="F524" s="31"/>
      <c r="G524" s="31"/>
      <c r="H524" s="31"/>
      <c r="I524" s="31"/>
      <c r="J524" s="31"/>
      <c r="K524" s="31"/>
      <c r="L524" s="31"/>
    </row>
    <row r="525" ht="15.75" customHeight="1">
      <c r="A525" s="31"/>
      <c r="B525" s="31"/>
      <c r="C525" s="31"/>
      <c r="D525" s="31"/>
      <c r="E525" s="31"/>
      <c r="F525" s="31"/>
      <c r="G525" s="31"/>
      <c r="H525" s="31"/>
      <c r="I525" s="31"/>
      <c r="J525" s="31"/>
      <c r="K525" s="31"/>
      <c r="L525" s="31"/>
    </row>
    <row r="526" ht="15.75" customHeight="1">
      <c r="A526" s="31"/>
      <c r="B526" s="31"/>
      <c r="C526" s="31"/>
      <c r="D526" s="31"/>
      <c r="E526" s="31"/>
      <c r="F526" s="31"/>
      <c r="G526" s="31"/>
      <c r="H526" s="31"/>
      <c r="I526" s="31"/>
      <c r="J526" s="31"/>
      <c r="K526" s="31"/>
      <c r="L526" s="31"/>
    </row>
    <row r="527" ht="15.75" customHeight="1">
      <c r="A527" s="31"/>
      <c r="B527" s="31"/>
      <c r="C527" s="31"/>
      <c r="D527" s="31"/>
      <c r="E527" s="31"/>
      <c r="F527" s="31"/>
      <c r="G527" s="31"/>
      <c r="H527" s="31"/>
      <c r="I527" s="31"/>
      <c r="J527" s="31"/>
      <c r="K527" s="31"/>
      <c r="L527" s="31"/>
    </row>
    <row r="528" ht="15.75" customHeight="1">
      <c r="A528" s="31"/>
      <c r="B528" s="31"/>
      <c r="C528" s="31"/>
      <c r="D528" s="31"/>
      <c r="E528" s="31"/>
      <c r="F528" s="31"/>
      <c r="G528" s="31"/>
      <c r="H528" s="31"/>
      <c r="I528" s="31"/>
      <c r="J528" s="31"/>
      <c r="K528" s="31"/>
      <c r="L528" s="31"/>
    </row>
    <row r="529" ht="15.75" customHeight="1">
      <c r="A529" s="31"/>
      <c r="B529" s="31"/>
      <c r="C529" s="31"/>
      <c r="D529" s="31"/>
      <c r="E529" s="31"/>
      <c r="F529" s="31"/>
      <c r="G529" s="31"/>
      <c r="H529" s="31"/>
      <c r="I529" s="31"/>
      <c r="J529" s="31"/>
      <c r="K529" s="31"/>
      <c r="L529" s="31"/>
    </row>
    <row r="530" ht="15.75" customHeight="1">
      <c r="A530" s="31"/>
      <c r="B530" s="31"/>
      <c r="C530" s="31"/>
      <c r="D530" s="31"/>
      <c r="E530" s="31"/>
      <c r="F530" s="31"/>
      <c r="G530" s="31"/>
      <c r="H530" s="31"/>
      <c r="I530" s="31"/>
      <c r="J530" s="31"/>
      <c r="K530" s="31"/>
      <c r="L530" s="31"/>
    </row>
    <row r="531" ht="15.75" customHeight="1">
      <c r="A531" s="31"/>
      <c r="B531" s="31"/>
      <c r="C531" s="31"/>
      <c r="D531" s="31"/>
      <c r="E531" s="31"/>
      <c r="F531" s="31"/>
      <c r="G531" s="31"/>
      <c r="H531" s="31"/>
      <c r="I531" s="31"/>
      <c r="J531" s="31"/>
      <c r="K531" s="31"/>
      <c r="L531" s="31"/>
    </row>
    <row r="532" ht="15.75" customHeight="1">
      <c r="A532" s="31"/>
      <c r="B532" s="31"/>
      <c r="C532" s="31"/>
      <c r="D532" s="31"/>
      <c r="E532" s="31"/>
      <c r="F532" s="31"/>
      <c r="G532" s="31"/>
      <c r="H532" s="31"/>
      <c r="I532" s="31"/>
      <c r="J532" s="31"/>
      <c r="K532" s="31"/>
      <c r="L532" s="31"/>
    </row>
    <row r="533" ht="15.75" customHeight="1">
      <c r="A533" s="31"/>
      <c r="B533" s="31"/>
      <c r="C533" s="31"/>
      <c r="D533" s="31"/>
      <c r="E533" s="31"/>
      <c r="F533" s="31"/>
      <c r="G533" s="31"/>
      <c r="H533" s="31"/>
      <c r="I533" s="31"/>
      <c r="J533" s="31"/>
      <c r="K533" s="31"/>
      <c r="L533" s="31"/>
    </row>
    <row r="534" ht="15.75" customHeight="1">
      <c r="A534" s="31"/>
      <c r="B534" s="31"/>
      <c r="C534" s="31"/>
      <c r="D534" s="31"/>
      <c r="E534" s="31"/>
      <c r="F534" s="31"/>
      <c r="G534" s="31"/>
      <c r="H534" s="31"/>
      <c r="I534" s="31"/>
      <c r="J534" s="31"/>
      <c r="K534" s="31"/>
      <c r="L534" s="31"/>
    </row>
    <row r="535" ht="15.75" customHeight="1">
      <c r="A535" s="31"/>
      <c r="B535" s="31"/>
      <c r="C535" s="31"/>
      <c r="D535" s="31"/>
      <c r="E535" s="31"/>
      <c r="F535" s="31"/>
      <c r="G535" s="31"/>
      <c r="H535" s="31"/>
      <c r="I535" s="31"/>
      <c r="J535" s="31"/>
      <c r="K535" s="31"/>
      <c r="L535" s="31"/>
    </row>
    <row r="536" ht="15.75" customHeight="1">
      <c r="A536" s="31"/>
      <c r="B536" s="31"/>
      <c r="C536" s="31"/>
      <c r="D536" s="31"/>
      <c r="E536" s="31"/>
      <c r="F536" s="31"/>
      <c r="G536" s="31"/>
      <c r="H536" s="31"/>
      <c r="I536" s="31"/>
      <c r="J536" s="31"/>
      <c r="K536" s="31"/>
      <c r="L536" s="31"/>
    </row>
    <row r="537" ht="15.75" customHeight="1">
      <c r="A537" s="31"/>
      <c r="B537" s="31"/>
      <c r="C537" s="31"/>
      <c r="D537" s="31"/>
      <c r="E537" s="31"/>
      <c r="F537" s="31"/>
      <c r="G537" s="31"/>
      <c r="H537" s="31"/>
      <c r="I537" s="31"/>
      <c r="J537" s="31"/>
      <c r="K537" s="31"/>
      <c r="L537" s="31"/>
    </row>
    <row r="538" ht="15.75" customHeight="1">
      <c r="A538" s="31"/>
      <c r="B538" s="31"/>
      <c r="C538" s="31"/>
      <c r="D538" s="31"/>
      <c r="E538" s="31"/>
      <c r="F538" s="31"/>
      <c r="G538" s="31"/>
      <c r="H538" s="31"/>
      <c r="I538" s="31"/>
      <c r="J538" s="31"/>
      <c r="K538" s="31"/>
      <c r="L538" s="31"/>
    </row>
    <row r="539" ht="15.75" customHeight="1">
      <c r="A539" s="31"/>
      <c r="B539" s="31"/>
      <c r="C539" s="31"/>
      <c r="D539" s="31"/>
      <c r="E539" s="31"/>
      <c r="F539" s="31"/>
      <c r="G539" s="31"/>
      <c r="H539" s="31"/>
      <c r="I539" s="31"/>
      <c r="J539" s="31"/>
      <c r="K539" s="31"/>
      <c r="L539" s="31"/>
    </row>
    <row r="540" ht="15.75" customHeight="1">
      <c r="A540" s="31"/>
      <c r="B540" s="31"/>
      <c r="C540" s="31"/>
      <c r="D540" s="31"/>
      <c r="E540" s="31"/>
      <c r="F540" s="31"/>
      <c r="G540" s="31"/>
      <c r="H540" s="31"/>
      <c r="I540" s="31"/>
      <c r="J540" s="31"/>
      <c r="K540" s="31"/>
      <c r="L540" s="31"/>
    </row>
    <row r="541" ht="15.75" customHeight="1">
      <c r="A541" s="31"/>
      <c r="B541" s="31"/>
      <c r="C541" s="31"/>
      <c r="D541" s="31"/>
      <c r="E541" s="31"/>
      <c r="F541" s="31"/>
      <c r="G541" s="31"/>
      <c r="H541" s="31"/>
      <c r="I541" s="31"/>
      <c r="J541" s="31"/>
      <c r="K541" s="31"/>
      <c r="L541" s="31"/>
    </row>
    <row r="542" ht="15.75" customHeight="1">
      <c r="A542" s="31"/>
      <c r="B542" s="31"/>
      <c r="C542" s="31"/>
      <c r="D542" s="31"/>
      <c r="E542" s="31"/>
      <c r="F542" s="31"/>
      <c r="G542" s="31"/>
      <c r="H542" s="31"/>
      <c r="I542" s="31"/>
      <c r="J542" s="31"/>
      <c r="K542" s="31"/>
      <c r="L542" s="31"/>
    </row>
    <row r="543" ht="15.75" customHeight="1">
      <c r="A543" s="31"/>
      <c r="B543" s="31"/>
      <c r="C543" s="31"/>
      <c r="D543" s="31"/>
      <c r="E543" s="31"/>
      <c r="F543" s="31"/>
      <c r="G543" s="31"/>
      <c r="H543" s="31"/>
      <c r="I543" s="31"/>
      <c r="J543" s="31"/>
      <c r="K543" s="31"/>
      <c r="L543" s="31"/>
    </row>
    <row r="544" ht="15.75" customHeight="1">
      <c r="A544" s="31"/>
      <c r="B544" s="31"/>
      <c r="C544" s="31"/>
      <c r="D544" s="31"/>
      <c r="E544" s="31"/>
      <c r="F544" s="31"/>
      <c r="G544" s="31"/>
      <c r="H544" s="31"/>
      <c r="I544" s="31"/>
      <c r="J544" s="31"/>
      <c r="K544" s="31"/>
      <c r="L544" s="31"/>
    </row>
    <row r="545" ht="15.75" customHeight="1">
      <c r="A545" s="31"/>
      <c r="B545" s="31"/>
      <c r="C545" s="31"/>
      <c r="D545" s="31"/>
      <c r="E545" s="31"/>
      <c r="F545" s="31"/>
      <c r="G545" s="31"/>
      <c r="H545" s="31"/>
      <c r="I545" s="31"/>
      <c r="J545" s="31"/>
      <c r="K545" s="31"/>
      <c r="L545" s="31"/>
    </row>
    <row r="546" ht="15.75" customHeight="1">
      <c r="A546" s="31"/>
      <c r="B546" s="31"/>
      <c r="C546" s="31"/>
      <c r="D546" s="31"/>
      <c r="E546" s="31"/>
      <c r="F546" s="31"/>
      <c r="G546" s="31"/>
      <c r="H546" s="31"/>
      <c r="I546" s="31"/>
      <c r="J546" s="31"/>
      <c r="K546" s="31"/>
      <c r="L546" s="31"/>
    </row>
    <row r="547" ht="15.75" customHeight="1">
      <c r="A547" s="31"/>
      <c r="B547" s="31"/>
      <c r="C547" s="31"/>
      <c r="D547" s="31"/>
      <c r="E547" s="31"/>
      <c r="F547" s="31"/>
      <c r="G547" s="31"/>
      <c r="H547" s="31"/>
      <c r="I547" s="31"/>
      <c r="J547" s="31"/>
      <c r="K547" s="31"/>
      <c r="L547" s="31"/>
    </row>
    <row r="548" ht="15.75" customHeight="1">
      <c r="A548" s="31"/>
      <c r="B548" s="31"/>
      <c r="C548" s="31"/>
      <c r="D548" s="31"/>
      <c r="E548" s="31"/>
      <c r="F548" s="31"/>
      <c r="G548" s="31"/>
      <c r="H548" s="31"/>
      <c r="I548" s="31"/>
      <c r="J548" s="31"/>
      <c r="K548" s="31"/>
      <c r="L548" s="31"/>
    </row>
    <row r="549" ht="15.75" customHeight="1">
      <c r="A549" s="31"/>
      <c r="B549" s="31"/>
      <c r="C549" s="31"/>
      <c r="D549" s="31"/>
      <c r="E549" s="31"/>
      <c r="F549" s="31"/>
      <c r="G549" s="31"/>
      <c r="H549" s="31"/>
      <c r="I549" s="31"/>
      <c r="J549" s="31"/>
      <c r="K549" s="31"/>
      <c r="L549" s="31"/>
    </row>
    <row r="550" ht="15.75" customHeight="1">
      <c r="A550" s="31"/>
      <c r="B550" s="31"/>
      <c r="C550" s="31"/>
      <c r="D550" s="31"/>
      <c r="E550" s="31"/>
      <c r="F550" s="31"/>
      <c r="G550" s="31"/>
      <c r="H550" s="31"/>
      <c r="I550" s="31"/>
      <c r="J550" s="31"/>
      <c r="K550" s="31"/>
      <c r="L550" s="31"/>
    </row>
    <row r="551" ht="15.75" customHeight="1">
      <c r="A551" s="31"/>
      <c r="B551" s="31"/>
      <c r="C551" s="31"/>
      <c r="D551" s="31"/>
      <c r="E551" s="31"/>
      <c r="F551" s="31"/>
      <c r="G551" s="31"/>
      <c r="H551" s="31"/>
      <c r="I551" s="31"/>
      <c r="J551" s="31"/>
      <c r="K551" s="31"/>
      <c r="L551" s="31"/>
    </row>
    <row r="552" ht="15.75" customHeight="1">
      <c r="A552" s="31"/>
      <c r="B552" s="31"/>
      <c r="C552" s="31"/>
      <c r="D552" s="31"/>
      <c r="E552" s="31"/>
      <c r="F552" s="31"/>
      <c r="G552" s="31"/>
      <c r="H552" s="31"/>
      <c r="I552" s="31"/>
      <c r="J552" s="31"/>
      <c r="K552" s="31"/>
      <c r="L552" s="31"/>
    </row>
    <row r="553" ht="15.75" customHeight="1">
      <c r="A553" s="31"/>
      <c r="B553" s="31"/>
      <c r="C553" s="31"/>
      <c r="D553" s="31"/>
      <c r="E553" s="31"/>
      <c r="F553" s="31"/>
      <c r="G553" s="31"/>
      <c r="H553" s="31"/>
      <c r="I553" s="31"/>
      <c r="J553" s="31"/>
      <c r="K553" s="31"/>
      <c r="L553" s="31"/>
    </row>
    <row r="554" ht="15.75" customHeight="1">
      <c r="A554" s="31"/>
      <c r="B554" s="31"/>
      <c r="C554" s="31"/>
      <c r="D554" s="31"/>
      <c r="E554" s="31"/>
      <c r="F554" s="31"/>
      <c r="G554" s="31"/>
      <c r="H554" s="31"/>
      <c r="I554" s="31"/>
      <c r="J554" s="31"/>
      <c r="K554" s="31"/>
      <c r="L554" s="31"/>
    </row>
    <row r="555" ht="15.75" customHeight="1">
      <c r="A555" s="31"/>
      <c r="B555" s="31"/>
      <c r="C555" s="31"/>
      <c r="D555" s="31"/>
      <c r="E555" s="31"/>
      <c r="F555" s="31"/>
      <c r="G555" s="31"/>
      <c r="H555" s="31"/>
      <c r="I555" s="31"/>
      <c r="J555" s="31"/>
      <c r="K555" s="31"/>
      <c r="L555" s="31"/>
    </row>
    <row r="556" ht="15.75" customHeight="1">
      <c r="A556" s="31"/>
      <c r="B556" s="31"/>
      <c r="C556" s="31"/>
      <c r="D556" s="31"/>
      <c r="E556" s="31"/>
      <c r="F556" s="31"/>
      <c r="G556" s="31"/>
      <c r="H556" s="31"/>
      <c r="I556" s="31"/>
      <c r="J556" s="31"/>
      <c r="K556" s="31"/>
      <c r="L556" s="31"/>
    </row>
    <row r="557" ht="15.75" customHeight="1">
      <c r="A557" s="31"/>
      <c r="B557" s="31"/>
      <c r="C557" s="31"/>
      <c r="D557" s="31"/>
      <c r="E557" s="31"/>
      <c r="F557" s="31"/>
      <c r="G557" s="31"/>
      <c r="H557" s="31"/>
      <c r="I557" s="31"/>
      <c r="J557" s="31"/>
      <c r="K557" s="31"/>
      <c r="L557" s="31"/>
    </row>
    <row r="558" ht="15.75" customHeight="1">
      <c r="A558" s="31"/>
      <c r="B558" s="31"/>
      <c r="C558" s="31"/>
      <c r="D558" s="31"/>
      <c r="E558" s="31"/>
      <c r="F558" s="31"/>
      <c r="G558" s="31"/>
      <c r="H558" s="31"/>
      <c r="I558" s="31"/>
      <c r="J558" s="31"/>
      <c r="K558" s="31"/>
      <c r="L558" s="31"/>
    </row>
    <row r="559" ht="15.75" customHeight="1">
      <c r="A559" s="31"/>
      <c r="B559" s="31"/>
      <c r="C559" s="31"/>
      <c r="D559" s="31"/>
      <c r="E559" s="31"/>
      <c r="F559" s="31"/>
      <c r="G559" s="31"/>
      <c r="H559" s="31"/>
      <c r="I559" s="31"/>
      <c r="J559" s="31"/>
      <c r="K559" s="31"/>
      <c r="L559" s="31"/>
    </row>
    <row r="560" ht="15.75" customHeight="1">
      <c r="A560" s="31"/>
      <c r="B560" s="31"/>
      <c r="C560" s="31"/>
      <c r="D560" s="31"/>
      <c r="E560" s="31"/>
      <c r="F560" s="31"/>
      <c r="G560" s="31"/>
      <c r="H560" s="31"/>
      <c r="I560" s="31"/>
      <c r="J560" s="31"/>
      <c r="K560" s="31"/>
      <c r="L560" s="31"/>
    </row>
    <row r="561" ht="15.75" customHeight="1">
      <c r="A561" s="31"/>
      <c r="B561" s="31"/>
      <c r="C561" s="31"/>
      <c r="D561" s="31"/>
      <c r="E561" s="31"/>
      <c r="F561" s="31"/>
      <c r="G561" s="31"/>
      <c r="H561" s="31"/>
      <c r="I561" s="31"/>
      <c r="J561" s="31"/>
      <c r="K561" s="31"/>
      <c r="L561" s="31"/>
    </row>
    <row r="562" ht="15.75" customHeight="1">
      <c r="A562" s="31"/>
      <c r="B562" s="31"/>
      <c r="C562" s="31"/>
      <c r="D562" s="31"/>
      <c r="E562" s="31"/>
      <c r="F562" s="31"/>
      <c r="G562" s="31"/>
      <c r="H562" s="31"/>
      <c r="I562" s="31"/>
      <c r="J562" s="31"/>
      <c r="K562" s="31"/>
      <c r="L562" s="31"/>
    </row>
    <row r="563" ht="15.75" customHeight="1">
      <c r="A563" s="31"/>
      <c r="B563" s="31"/>
      <c r="C563" s="31"/>
      <c r="D563" s="31"/>
      <c r="E563" s="31"/>
      <c r="F563" s="31"/>
      <c r="G563" s="31"/>
      <c r="H563" s="31"/>
      <c r="I563" s="31"/>
      <c r="J563" s="31"/>
      <c r="K563" s="31"/>
      <c r="L563" s="31"/>
    </row>
    <row r="564" ht="15.75" customHeight="1">
      <c r="A564" s="31"/>
      <c r="B564" s="31"/>
      <c r="C564" s="31"/>
      <c r="D564" s="31"/>
      <c r="E564" s="31"/>
      <c r="F564" s="31"/>
      <c r="G564" s="31"/>
      <c r="H564" s="31"/>
      <c r="I564" s="31"/>
      <c r="J564" s="31"/>
      <c r="K564" s="31"/>
      <c r="L564" s="31"/>
    </row>
    <row r="565" ht="15.75" customHeight="1">
      <c r="A565" s="31"/>
      <c r="B565" s="31"/>
      <c r="C565" s="31"/>
      <c r="D565" s="31"/>
      <c r="E565" s="31"/>
      <c r="F565" s="31"/>
      <c r="G565" s="31"/>
      <c r="H565" s="31"/>
      <c r="I565" s="31"/>
      <c r="J565" s="31"/>
      <c r="K565" s="31"/>
      <c r="L565" s="31"/>
    </row>
    <row r="566" ht="15.75" customHeight="1">
      <c r="A566" s="31"/>
      <c r="B566" s="31"/>
      <c r="C566" s="31"/>
      <c r="D566" s="31"/>
      <c r="E566" s="31"/>
      <c r="F566" s="31"/>
      <c r="G566" s="31"/>
      <c r="H566" s="31"/>
      <c r="I566" s="31"/>
      <c r="J566" s="31"/>
      <c r="K566" s="31"/>
      <c r="L566" s="31"/>
    </row>
    <row r="567" ht="15.75" customHeight="1">
      <c r="A567" s="31"/>
      <c r="B567" s="31"/>
      <c r="C567" s="31"/>
      <c r="D567" s="31"/>
      <c r="E567" s="31"/>
      <c r="F567" s="31"/>
      <c r="G567" s="31"/>
      <c r="H567" s="31"/>
      <c r="I567" s="31"/>
      <c r="J567" s="31"/>
      <c r="K567" s="31"/>
      <c r="L567" s="31"/>
    </row>
    <row r="568" ht="15.75" customHeight="1">
      <c r="A568" s="31"/>
      <c r="B568" s="31"/>
      <c r="C568" s="31"/>
      <c r="D568" s="31"/>
      <c r="E568" s="31"/>
      <c r="F568" s="31"/>
      <c r="G568" s="31"/>
      <c r="H568" s="31"/>
      <c r="I568" s="31"/>
      <c r="J568" s="31"/>
      <c r="K568" s="31"/>
      <c r="L568" s="31"/>
    </row>
    <row r="569" ht="15.75" customHeight="1">
      <c r="A569" s="31"/>
      <c r="B569" s="31"/>
      <c r="C569" s="31"/>
      <c r="D569" s="31"/>
      <c r="E569" s="31"/>
      <c r="F569" s="31"/>
      <c r="G569" s="31"/>
      <c r="H569" s="31"/>
      <c r="I569" s="31"/>
      <c r="J569" s="31"/>
      <c r="K569" s="31"/>
      <c r="L569" s="31"/>
    </row>
    <row r="570" ht="15.75" customHeight="1">
      <c r="A570" s="31"/>
      <c r="B570" s="31"/>
      <c r="C570" s="31"/>
      <c r="D570" s="31"/>
      <c r="E570" s="31"/>
      <c r="F570" s="31"/>
      <c r="G570" s="31"/>
      <c r="H570" s="31"/>
      <c r="I570" s="31"/>
      <c r="J570" s="31"/>
      <c r="K570" s="31"/>
      <c r="L570" s="31"/>
    </row>
    <row r="571" ht="15.75" customHeight="1">
      <c r="A571" s="31"/>
      <c r="B571" s="31"/>
      <c r="C571" s="31"/>
      <c r="D571" s="31"/>
      <c r="E571" s="31"/>
      <c r="F571" s="31"/>
      <c r="G571" s="31"/>
      <c r="H571" s="31"/>
      <c r="I571" s="31"/>
      <c r="J571" s="31"/>
      <c r="K571" s="31"/>
      <c r="L571" s="31"/>
    </row>
    <row r="572" ht="15.75" customHeight="1">
      <c r="A572" s="31"/>
      <c r="B572" s="31"/>
      <c r="C572" s="31"/>
      <c r="D572" s="31"/>
      <c r="E572" s="31"/>
      <c r="F572" s="31"/>
      <c r="G572" s="31"/>
      <c r="H572" s="31"/>
      <c r="I572" s="31"/>
      <c r="J572" s="31"/>
      <c r="K572" s="31"/>
      <c r="L572" s="31"/>
    </row>
    <row r="573" ht="15.75" customHeight="1">
      <c r="A573" s="31"/>
      <c r="B573" s="31"/>
      <c r="C573" s="31"/>
      <c r="D573" s="31"/>
      <c r="E573" s="31"/>
      <c r="F573" s="31"/>
      <c r="G573" s="31"/>
      <c r="H573" s="31"/>
      <c r="I573" s="31"/>
      <c r="J573" s="31"/>
      <c r="K573" s="31"/>
      <c r="L573" s="31"/>
    </row>
    <row r="574" ht="15.75" customHeight="1">
      <c r="A574" s="31"/>
      <c r="B574" s="31"/>
      <c r="C574" s="31"/>
      <c r="D574" s="31"/>
      <c r="E574" s="31"/>
      <c r="F574" s="31"/>
      <c r="G574" s="31"/>
      <c r="H574" s="31"/>
      <c r="I574" s="31"/>
      <c r="J574" s="31"/>
      <c r="K574" s="31"/>
      <c r="L574" s="31"/>
    </row>
    <row r="575" ht="15.75" customHeight="1">
      <c r="A575" s="31"/>
      <c r="B575" s="31"/>
      <c r="C575" s="31"/>
      <c r="D575" s="31"/>
      <c r="E575" s="31"/>
      <c r="F575" s="31"/>
      <c r="G575" s="31"/>
      <c r="H575" s="31"/>
      <c r="I575" s="31"/>
      <c r="J575" s="31"/>
      <c r="K575" s="31"/>
      <c r="L575" s="31"/>
    </row>
    <row r="576" ht="15.75" customHeight="1">
      <c r="A576" s="31"/>
      <c r="B576" s="31"/>
      <c r="C576" s="31"/>
      <c r="D576" s="31"/>
      <c r="E576" s="31"/>
      <c r="F576" s="31"/>
      <c r="G576" s="31"/>
      <c r="H576" s="31"/>
      <c r="I576" s="31"/>
      <c r="J576" s="31"/>
      <c r="K576" s="31"/>
      <c r="L576" s="31"/>
    </row>
    <row r="577" ht="15.75" customHeight="1">
      <c r="A577" s="31"/>
      <c r="B577" s="31"/>
      <c r="C577" s="31"/>
      <c r="D577" s="31"/>
      <c r="E577" s="31"/>
      <c r="F577" s="31"/>
      <c r="G577" s="31"/>
      <c r="H577" s="31"/>
      <c r="I577" s="31"/>
      <c r="J577" s="31"/>
      <c r="K577" s="31"/>
      <c r="L577" s="31"/>
    </row>
    <row r="578" ht="15.75" customHeight="1">
      <c r="A578" s="31"/>
      <c r="B578" s="31"/>
      <c r="C578" s="31"/>
      <c r="D578" s="31"/>
      <c r="E578" s="31"/>
      <c r="F578" s="31"/>
      <c r="G578" s="31"/>
      <c r="H578" s="31"/>
      <c r="I578" s="31"/>
      <c r="J578" s="31"/>
      <c r="K578" s="31"/>
      <c r="L578" s="31"/>
    </row>
    <row r="579" ht="15.75" customHeight="1">
      <c r="A579" s="31"/>
      <c r="B579" s="31"/>
      <c r="C579" s="31"/>
      <c r="D579" s="31"/>
      <c r="E579" s="31"/>
      <c r="F579" s="31"/>
      <c r="G579" s="31"/>
      <c r="H579" s="31"/>
      <c r="I579" s="31"/>
      <c r="J579" s="31"/>
      <c r="K579" s="31"/>
      <c r="L579" s="31"/>
    </row>
    <row r="580" ht="15.75" customHeight="1">
      <c r="A580" s="31"/>
      <c r="B580" s="31"/>
      <c r="C580" s="31"/>
      <c r="D580" s="31"/>
      <c r="E580" s="31"/>
      <c r="F580" s="31"/>
      <c r="G580" s="31"/>
      <c r="H580" s="31"/>
      <c r="I580" s="31"/>
      <c r="J580" s="31"/>
      <c r="K580" s="31"/>
      <c r="L580" s="31"/>
    </row>
    <row r="581" ht="15.75" customHeight="1">
      <c r="A581" s="31"/>
      <c r="B581" s="31"/>
      <c r="C581" s="31"/>
      <c r="D581" s="31"/>
      <c r="E581" s="31"/>
      <c r="F581" s="31"/>
      <c r="G581" s="31"/>
      <c r="H581" s="31"/>
      <c r="I581" s="31"/>
      <c r="J581" s="31"/>
      <c r="K581" s="31"/>
      <c r="L581" s="31"/>
    </row>
    <row r="582" ht="15.75" customHeight="1">
      <c r="A582" s="31"/>
      <c r="B582" s="31"/>
      <c r="C582" s="31"/>
      <c r="D582" s="31"/>
      <c r="E582" s="31"/>
      <c r="F582" s="31"/>
      <c r="G582" s="31"/>
      <c r="H582" s="31"/>
      <c r="I582" s="31"/>
      <c r="J582" s="31"/>
      <c r="K582" s="31"/>
      <c r="L582" s="31"/>
    </row>
    <row r="583" ht="15.75" customHeight="1">
      <c r="A583" s="31"/>
      <c r="B583" s="31"/>
      <c r="C583" s="31"/>
      <c r="D583" s="31"/>
      <c r="E583" s="31"/>
      <c r="F583" s="31"/>
      <c r="G583" s="31"/>
      <c r="H583" s="31"/>
      <c r="I583" s="31"/>
      <c r="J583" s="31"/>
      <c r="K583" s="31"/>
      <c r="L583" s="31"/>
    </row>
    <row r="584" ht="15.75" customHeight="1">
      <c r="A584" s="31"/>
      <c r="B584" s="31"/>
      <c r="C584" s="31"/>
      <c r="D584" s="31"/>
      <c r="E584" s="31"/>
      <c r="F584" s="31"/>
      <c r="G584" s="31"/>
      <c r="H584" s="31"/>
      <c r="I584" s="31"/>
      <c r="J584" s="31"/>
      <c r="K584" s="31"/>
      <c r="L584" s="31"/>
    </row>
    <row r="585" ht="15.75" customHeight="1">
      <c r="A585" s="31"/>
      <c r="B585" s="31"/>
      <c r="C585" s="31"/>
      <c r="D585" s="31"/>
      <c r="E585" s="31"/>
      <c r="F585" s="31"/>
      <c r="G585" s="31"/>
      <c r="H585" s="31"/>
      <c r="I585" s="31"/>
      <c r="J585" s="31"/>
      <c r="K585" s="31"/>
      <c r="L585" s="31"/>
    </row>
    <row r="586" ht="15.75" customHeight="1">
      <c r="A586" s="31"/>
      <c r="B586" s="31"/>
      <c r="C586" s="31"/>
      <c r="D586" s="31"/>
      <c r="E586" s="31"/>
      <c r="F586" s="31"/>
      <c r="G586" s="31"/>
      <c r="H586" s="31"/>
      <c r="I586" s="31"/>
      <c r="J586" s="31"/>
      <c r="K586" s="31"/>
      <c r="L586" s="31"/>
    </row>
    <row r="587" ht="15.75" customHeight="1">
      <c r="A587" s="31"/>
      <c r="B587" s="31"/>
      <c r="C587" s="31"/>
      <c r="D587" s="31"/>
      <c r="E587" s="31"/>
      <c r="F587" s="31"/>
      <c r="G587" s="31"/>
      <c r="H587" s="31"/>
      <c r="I587" s="31"/>
      <c r="J587" s="31"/>
      <c r="K587" s="31"/>
      <c r="L587" s="31"/>
    </row>
    <row r="588" ht="15.75" customHeight="1">
      <c r="A588" s="31"/>
      <c r="B588" s="31"/>
      <c r="C588" s="31"/>
      <c r="D588" s="31"/>
      <c r="E588" s="31"/>
      <c r="F588" s="31"/>
      <c r="G588" s="31"/>
      <c r="H588" s="31"/>
      <c r="I588" s="31"/>
      <c r="J588" s="31"/>
      <c r="K588" s="31"/>
      <c r="L588" s="31"/>
    </row>
    <row r="589" ht="15.75" customHeight="1">
      <c r="A589" s="31"/>
      <c r="B589" s="31"/>
      <c r="C589" s="31"/>
      <c r="D589" s="31"/>
      <c r="E589" s="31"/>
      <c r="F589" s="31"/>
      <c r="G589" s="31"/>
      <c r="H589" s="31"/>
      <c r="I589" s="31"/>
      <c r="J589" s="31"/>
      <c r="K589" s="31"/>
      <c r="L589" s="31"/>
    </row>
    <row r="590" ht="15.75" customHeight="1">
      <c r="A590" s="31"/>
      <c r="B590" s="31"/>
      <c r="C590" s="31"/>
      <c r="D590" s="31"/>
      <c r="E590" s="31"/>
      <c r="F590" s="31"/>
      <c r="G590" s="31"/>
      <c r="H590" s="31"/>
      <c r="I590" s="31"/>
      <c r="J590" s="31"/>
      <c r="K590" s="31"/>
      <c r="L590" s="31"/>
    </row>
    <row r="591" ht="15.75" customHeight="1">
      <c r="A591" s="31"/>
      <c r="B591" s="31"/>
      <c r="C591" s="31"/>
      <c r="D591" s="31"/>
      <c r="E591" s="31"/>
      <c r="F591" s="31"/>
      <c r="G591" s="31"/>
      <c r="H591" s="31"/>
      <c r="I591" s="31"/>
      <c r="J591" s="31"/>
      <c r="K591" s="31"/>
      <c r="L591" s="31"/>
    </row>
    <row r="592" ht="15.75" customHeight="1">
      <c r="A592" s="31"/>
      <c r="B592" s="31"/>
      <c r="C592" s="31"/>
      <c r="D592" s="31"/>
      <c r="E592" s="31"/>
      <c r="F592" s="31"/>
      <c r="G592" s="31"/>
      <c r="H592" s="31"/>
      <c r="I592" s="31"/>
      <c r="J592" s="31"/>
      <c r="K592" s="31"/>
      <c r="L592" s="31"/>
    </row>
    <row r="593" ht="15.75" customHeight="1">
      <c r="A593" s="31"/>
      <c r="B593" s="31"/>
      <c r="C593" s="31"/>
      <c r="D593" s="31"/>
      <c r="E593" s="31"/>
      <c r="F593" s="31"/>
      <c r="G593" s="31"/>
      <c r="H593" s="31"/>
      <c r="I593" s="31"/>
      <c r="J593" s="31"/>
      <c r="K593" s="31"/>
      <c r="L593" s="31"/>
    </row>
    <row r="594" ht="15.75" customHeight="1">
      <c r="A594" s="31"/>
      <c r="B594" s="31"/>
      <c r="C594" s="31"/>
      <c r="D594" s="31"/>
      <c r="E594" s="31"/>
      <c r="F594" s="31"/>
      <c r="G594" s="31"/>
      <c r="H594" s="31"/>
      <c r="I594" s="31"/>
      <c r="J594" s="31"/>
      <c r="K594" s="31"/>
      <c r="L594" s="31"/>
    </row>
    <row r="595" ht="15.75" customHeight="1">
      <c r="A595" s="31"/>
      <c r="B595" s="31"/>
      <c r="C595" s="31"/>
      <c r="D595" s="31"/>
      <c r="E595" s="31"/>
      <c r="F595" s="31"/>
      <c r="G595" s="31"/>
      <c r="H595" s="31"/>
      <c r="I595" s="31"/>
      <c r="J595" s="31"/>
      <c r="K595" s="31"/>
      <c r="L595" s="31"/>
    </row>
    <row r="596" ht="15.75" customHeight="1">
      <c r="A596" s="31"/>
      <c r="B596" s="31"/>
      <c r="C596" s="31"/>
      <c r="D596" s="31"/>
      <c r="E596" s="31"/>
      <c r="F596" s="31"/>
      <c r="G596" s="31"/>
      <c r="H596" s="31"/>
      <c r="I596" s="31"/>
      <c r="J596" s="31"/>
      <c r="K596" s="31"/>
      <c r="L596" s="31"/>
    </row>
    <row r="597" ht="15.75" customHeight="1">
      <c r="A597" s="31"/>
      <c r="B597" s="31"/>
      <c r="C597" s="31"/>
      <c r="D597" s="31"/>
      <c r="E597" s="31"/>
      <c r="F597" s="31"/>
      <c r="G597" s="31"/>
      <c r="H597" s="31"/>
      <c r="I597" s="31"/>
      <c r="J597" s="31"/>
      <c r="K597" s="31"/>
      <c r="L597" s="31"/>
    </row>
    <row r="598" ht="15.75" customHeight="1">
      <c r="A598" s="31"/>
      <c r="B598" s="31"/>
      <c r="C598" s="31"/>
      <c r="D598" s="31"/>
      <c r="E598" s="31"/>
      <c r="F598" s="31"/>
      <c r="G598" s="31"/>
      <c r="H598" s="31"/>
      <c r="I598" s="31"/>
      <c r="J598" s="31"/>
      <c r="K598" s="31"/>
      <c r="L598" s="31"/>
    </row>
    <row r="599" ht="15.75" customHeight="1">
      <c r="A599" s="31"/>
      <c r="B599" s="31"/>
      <c r="C599" s="31"/>
      <c r="D599" s="31"/>
      <c r="E599" s="31"/>
      <c r="F599" s="31"/>
      <c r="G599" s="31"/>
      <c r="H599" s="31"/>
      <c r="I599" s="31"/>
      <c r="J599" s="31"/>
      <c r="K599" s="31"/>
      <c r="L599" s="31"/>
    </row>
    <row r="600" ht="15.75" customHeight="1">
      <c r="A600" s="31"/>
      <c r="B600" s="31"/>
      <c r="C600" s="31"/>
      <c r="D600" s="31"/>
      <c r="E600" s="31"/>
      <c r="F600" s="31"/>
      <c r="G600" s="31"/>
      <c r="H600" s="31"/>
      <c r="I600" s="31"/>
      <c r="J600" s="31"/>
      <c r="K600" s="31"/>
      <c r="L600" s="31"/>
    </row>
    <row r="601" ht="15.75" customHeight="1">
      <c r="A601" s="31"/>
      <c r="B601" s="31"/>
      <c r="C601" s="31"/>
      <c r="D601" s="31"/>
      <c r="E601" s="31"/>
      <c r="F601" s="31"/>
      <c r="G601" s="31"/>
      <c r="H601" s="31"/>
      <c r="I601" s="31"/>
      <c r="J601" s="31"/>
      <c r="K601" s="31"/>
      <c r="L601" s="31"/>
    </row>
    <row r="602" ht="15.75" customHeight="1">
      <c r="A602" s="31"/>
      <c r="B602" s="31"/>
      <c r="C602" s="31"/>
      <c r="D602" s="31"/>
      <c r="E602" s="31"/>
      <c r="F602" s="31"/>
      <c r="G602" s="31"/>
      <c r="H602" s="31"/>
      <c r="I602" s="31"/>
      <c r="J602" s="31"/>
      <c r="K602" s="31"/>
      <c r="L602" s="31"/>
    </row>
    <row r="603" ht="15.75" customHeight="1">
      <c r="A603" s="31"/>
      <c r="B603" s="31"/>
      <c r="C603" s="31"/>
      <c r="D603" s="31"/>
      <c r="E603" s="31"/>
      <c r="F603" s="31"/>
      <c r="G603" s="31"/>
      <c r="H603" s="31"/>
      <c r="I603" s="31"/>
      <c r="J603" s="31"/>
      <c r="K603" s="31"/>
      <c r="L603" s="31"/>
    </row>
    <row r="604" ht="15.75" customHeight="1">
      <c r="A604" s="31"/>
      <c r="B604" s="31"/>
      <c r="C604" s="31"/>
      <c r="D604" s="31"/>
      <c r="E604" s="31"/>
      <c r="F604" s="31"/>
      <c r="G604" s="31"/>
      <c r="H604" s="31"/>
      <c r="I604" s="31"/>
      <c r="J604" s="31"/>
      <c r="K604" s="31"/>
      <c r="L604" s="31"/>
    </row>
    <row r="605" ht="15.75" customHeight="1">
      <c r="A605" s="31"/>
      <c r="B605" s="31"/>
      <c r="C605" s="31"/>
      <c r="D605" s="31"/>
      <c r="E605" s="31"/>
      <c r="F605" s="31"/>
      <c r="G605" s="31"/>
      <c r="H605" s="31"/>
      <c r="I605" s="31"/>
      <c r="J605" s="31"/>
      <c r="K605" s="31"/>
      <c r="L605" s="31"/>
    </row>
    <row r="606" ht="15.75" customHeight="1">
      <c r="A606" s="31"/>
      <c r="B606" s="31"/>
      <c r="C606" s="31"/>
      <c r="D606" s="31"/>
      <c r="E606" s="31"/>
      <c r="F606" s="31"/>
      <c r="G606" s="31"/>
      <c r="H606" s="31"/>
      <c r="I606" s="31"/>
      <c r="J606" s="31"/>
      <c r="K606" s="31"/>
      <c r="L606" s="31"/>
    </row>
    <row r="607" ht="15.75" customHeight="1">
      <c r="A607" s="31"/>
      <c r="B607" s="31"/>
      <c r="C607" s="31"/>
      <c r="D607" s="31"/>
      <c r="E607" s="31"/>
      <c r="F607" s="31"/>
      <c r="G607" s="31"/>
      <c r="H607" s="31"/>
      <c r="I607" s="31"/>
      <c r="J607" s="31"/>
      <c r="K607" s="31"/>
      <c r="L607" s="31"/>
    </row>
    <row r="608" ht="15.75" customHeight="1">
      <c r="A608" s="31"/>
      <c r="B608" s="31"/>
      <c r="C608" s="31"/>
      <c r="D608" s="31"/>
      <c r="E608" s="31"/>
      <c r="F608" s="31"/>
      <c r="G608" s="31"/>
      <c r="H608" s="31"/>
      <c r="I608" s="31"/>
      <c r="J608" s="31"/>
      <c r="K608" s="31"/>
      <c r="L608" s="31"/>
    </row>
    <row r="609" ht="15.75" customHeight="1">
      <c r="A609" s="31"/>
      <c r="B609" s="31"/>
      <c r="C609" s="31"/>
      <c r="D609" s="31"/>
      <c r="E609" s="31"/>
      <c r="F609" s="31"/>
      <c r="G609" s="31"/>
      <c r="H609" s="31"/>
      <c r="I609" s="31"/>
      <c r="J609" s="31"/>
      <c r="K609" s="31"/>
      <c r="L609" s="31"/>
    </row>
    <row r="610" ht="15.75" customHeight="1">
      <c r="A610" s="31"/>
      <c r="B610" s="31"/>
      <c r="C610" s="31"/>
      <c r="D610" s="31"/>
      <c r="E610" s="31"/>
      <c r="F610" s="31"/>
      <c r="G610" s="31"/>
      <c r="H610" s="31"/>
      <c r="I610" s="31"/>
      <c r="J610" s="31"/>
      <c r="K610" s="31"/>
      <c r="L610" s="31"/>
    </row>
    <row r="611" ht="15.75" customHeight="1">
      <c r="A611" s="31"/>
      <c r="B611" s="31"/>
      <c r="C611" s="31"/>
      <c r="D611" s="31"/>
      <c r="E611" s="31"/>
      <c r="F611" s="31"/>
      <c r="G611" s="31"/>
      <c r="H611" s="31"/>
      <c r="I611" s="31"/>
      <c r="J611" s="31"/>
      <c r="K611" s="31"/>
      <c r="L611" s="31"/>
    </row>
    <row r="612" ht="15.75" customHeight="1">
      <c r="A612" s="31"/>
      <c r="B612" s="31"/>
      <c r="C612" s="31"/>
      <c r="D612" s="31"/>
      <c r="E612" s="31"/>
      <c r="F612" s="31"/>
      <c r="G612" s="31"/>
      <c r="H612" s="31"/>
      <c r="I612" s="31"/>
      <c r="J612" s="31"/>
      <c r="K612" s="31"/>
      <c r="L612" s="31"/>
    </row>
    <row r="613" ht="15.75" customHeight="1">
      <c r="A613" s="31"/>
      <c r="B613" s="31"/>
      <c r="C613" s="31"/>
      <c r="D613" s="31"/>
      <c r="E613" s="31"/>
      <c r="F613" s="31"/>
      <c r="G613" s="31"/>
      <c r="H613" s="31"/>
      <c r="I613" s="31"/>
      <c r="J613" s="31"/>
      <c r="K613" s="31"/>
      <c r="L613" s="31"/>
    </row>
    <row r="614" ht="15.75" customHeight="1">
      <c r="A614" s="31"/>
      <c r="B614" s="31"/>
      <c r="C614" s="31"/>
      <c r="D614" s="31"/>
      <c r="E614" s="31"/>
      <c r="F614" s="31"/>
      <c r="G614" s="31"/>
      <c r="H614" s="31"/>
      <c r="I614" s="31"/>
      <c r="J614" s="31"/>
      <c r="K614" s="31"/>
      <c r="L614" s="31"/>
    </row>
    <row r="615" ht="15.75" customHeight="1">
      <c r="A615" s="31"/>
      <c r="B615" s="31"/>
      <c r="C615" s="31"/>
      <c r="D615" s="31"/>
      <c r="E615" s="31"/>
      <c r="F615" s="31"/>
      <c r="G615" s="31"/>
      <c r="H615" s="31"/>
      <c r="I615" s="31"/>
      <c r="J615" s="31"/>
      <c r="K615" s="31"/>
      <c r="L615" s="31"/>
    </row>
    <row r="616" ht="15.75" customHeight="1">
      <c r="A616" s="31"/>
      <c r="B616" s="31"/>
      <c r="C616" s="31"/>
      <c r="D616" s="31"/>
      <c r="E616" s="31"/>
      <c r="F616" s="31"/>
      <c r="G616" s="31"/>
      <c r="H616" s="31"/>
      <c r="I616" s="31"/>
      <c r="J616" s="31"/>
      <c r="K616" s="31"/>
      <c r="L616" s="31"/>
    </row>
    <row r="617" ht="15.75" customHeight="1">
      <c r="A617" s="31"/>
      <c r="B617" s="31"/>
      <c r="C617" s="31"/>
      <c r="D617" s="31"/>
      <c r="E617" s="31"/>
      <c r="F617" s="31"/>
      <c r="G617" s="31"/>
      <c r="H617" s="31"/>
      <c r="I617" s="31"/>
      <c r="J617" s="31"/>
      <c r="K617" s="31"/>
      <c r="L617" s="31"/>
    </row>
    <row r="618" ht="15.75" customHeight="1">
      <c r="A618" s="31"/>
      <c r="B618" s="31"/>
      <c r="C618" s="31"/>
      <c r="D618" s="31"/>
      <c r="E618" s="31"/>
      <c r="F618" s="31"/>
      <c r="G618" s="31"/>
      <c r="H618" s="31"/>
      <c r="I618" s="31"/>
      <c r="J618" s="31"/>
      <c r="K618" s="31"/>
      <c r="L618" s="31"/>
    </row>
    <row r="619" ht="15.75" customHeight="1">
      <c r="A619" s="31"/>
      <c r="B619" s="31"/>
      <c r="C619" s="31"/>
      <c r="D619" s="31"/>
      <c r="E619" s="31"/>
      <c r="F619" s="31"/>
      <c r="G619" s="31"/>
      <c r="H619" s="31"/>
      <c r="I619" s="31"/>
      <c r="J619" s="31"/>
      <c r="K619" s="31"/>
      <c r="L619" s="31"/>
    </row>
    <row r="620" ht="15.75" customHeight="1">
      <c r="A620" s="31"/>
      <c r="B620" s="31"/>
      <c r="C620" s="31"/>
      <c r="D620" s="31"/>
      <c r="E620" s="31"/>
      <c r="F620" s="31"/>
      <c r="G620" s="31"/>
      <c r="H620" s="31"/>
      <c r="I620" s="31"/>
      <c r="J620" s="31"/>
      <c r="K620" s="31"/>
      <c r="L620" s="31"/>
    </row>
    <row r="621" ht="15.75" customHeight="1">
      <c r="A621" s="31"/>
      <c r="B621" s="31"/>
      <c r="C621" s="31"/>
      <c r="D621" s="31"/>
      <c r="E621" s="31"/>
      <c r="F621" s="31"/>
      <c r="G621" s="31"/>
      <c r="H621" s="31"/>
      <c r="I621" s="31"/>
      <c r="J621" s="31"/>
      <c r="K621" s="31"/>
      <c r="L621" s="31"/>
    </row>
    <row r="622" ht="15.75" customHeight="1">
      <c r="A622" s="31"/>
      <c r="B622" s="31"/>
      <c r="C622" s="31"/>
      <c r="D622" s="31"/>
      <c r="E622" s="31"/>
      <c r="F622" s="31"/>
      <c r="G622" s="31"/>
      <c r="H622" s="31"/>
      <c r="I622" s="31"/>
      <c r="J622" s="31"/>
      <c r="K622" s="31"/>
      <c r="L622" s="31"/>
    </row>
    <row r="623" ht="15.75" customHeight="1">
      <c r="A623" s="31"/>
      <c r="B623" s="31"/>
      <c r="C623" s="31"/>
      <c r="D623" s="31"/>
      <c r="E623" s="31"/>
      <c r="F623" s="31"/>
      <c r="G623" s="31"/>
      <c r="H623" s="31"/>
      <c r="I623" s="31"/>
      <c r="J623" s="31"/>
      <c r="K623" s="31"/>
      <c r="L623" s="31"/>
    </row>
    <row r="624" ht="15.75" customHeight="1">
      <c r="A624" s="31"/>
      <c r="B624" s="31"/>
      <c r="C624" s="31"/>
      <c r="D624" s="31"/>
      <c r="E624" s="31"/>
      <c r="F624" s="31"/>
      <c r="G624" s="31"/>
      <c r="H624" s="31"/>
      <c r="I624" s="31"/>
      <c r="J624" s="31"/>
      <c r="K624" s="31"/>
      <c r="L624" s="31"/>
    </row>
    <row r="625" ht="15.75" customHeight="1">
      <c r="A625" s="31"/>
      <c r="B625" s="31"/>
      <c r="C625" s="31"/>
      <c r="D625" s="31"/>
      <c r="E625" s="31"/>
      <c r="F625" s="31"/>
      <c r="G625" s="31"/>
      <c r="H625" s="31"/>
      <c r="I625" s="31"/>
      <c r="J625" s="31"/>
      <c r="K625" s="31"/>
      <c r="L625" s="31"/>
    </row>
    <row r="626" ht="15.75" customHeight="1">
      <c r="A626" s="31"/>
      <c r="B626" s="31"/>
      <c r="C626" s="31"/>
      <c r="D626" s="31"/>
      <c r="E626" s="31"/>
      <c r="F626" s="31"/>
      <c r="G626" s="31"/>
      <c r="H626" s="31"/>
      <c r="I626" s="31"/>
      <c r="J626" s="31"/>
      <c r="K626" s="31"/>
      <c r="L626" s="31"/>
    </row>
    <row r="627" ht="15.75" customHeight="1">
      <c r="A627" s="31"/>
      <c r="B627" s="31"/>
      <c r="C627" s="31"/>
      <c r="D627" s="31"/>
      <c r="E627" s="31"/>
      <c r="F627" s="31"/>
      <c r="G627" s="31"/>
      <c r="H627" s="31"/>
      <c r="I627" s="31"/>
      <c r="J627" s="31"/>
      <c r="K627" s="31"/>
      <c r="L627" s="31"/>
    </row>
    <row r="628" ht="15.75" customHeight="1">
      <c r="A628" s="31"/>
      <c r="B628" s="31"/>
      <c r="C628" s="31"/>
      <c r="D628" s="31"/>
      <c r="E628" s="31"/>
      <c r="F628" s="31"/>
      <c r="G628" s="31"/>
      <c r="H628" s="31"/>
      <c r="I628" s="31"/>
      <c r="J628" s="31"/>
      <c r="K628" s="31"/>
      <c r="L628" s="31"/>
    </row>
    <row r="629" ht="15.75" customHeight="1">
      <c r="A629" s="31"/>
      <c r="B629" s="31"/>
      <c r="C629" s="31"/>
      <c r="D629" s="31"/>
      <c r="E629" s="31"/>
      <c r="F629" s="31"/>
      <c r="G629" s="31"/>
      <c r="H629" s="31"/>
      <c r="I629" s="31"/>
      <c r="J629" s="31"/>
      <c r="K629" s="31"/>
      <c r="L629" s="31"/>
    </row>
    <row r="630" ht="15.75" customHeight="1">
      <c r="A630" s="31"/>
      <c r="B630" s="31"/>
      <c r="C630" s="31"/>
      <c r="D630" s="31"/>
      <c r="E630" s="31"/>
      <c r="F630" s="31"/>
      <c r="G630" s="31"/>
      <c r="H630" s="31"/>
      <c r="I630" s="31"/>
      <c r="J630" s="31"/>
      <c r="K630" s="31"/>
      <c r="L630" s="31"/>
    </row>
    <row r="631" ht="15.75" customHeight="1">
      <c r="A631" s="31"/>
      <c r="B631" s="31"/>
      <c r="C631" s="31"/>
      <c r="D631" s="31"/>
      <c r="E631" s="31"/>
      <c r="F631" s="31"/>
      <c r="G631" s="31"/>
      <c r="H631" s="31"/>
      <c r="I631" s="31"/>
      <c r="J631" s="31"/>
      <c r="K631" s="31"/>
      <c r="L631" s="31"/>
    </row>
    <row r="632" ht="15.75" customHeight="1">
      <c r="A632" s="31"/>
      <c r="B632" s="31"/>
      <c r="C632" s="31"/>
      <c r="D632" s="31"/>
      <c r="E632" s="31"/>
      <c r="F632" s="31"/>
      <c r="G632" s="31"/>
      <c r="H632" s="31"/>
      <c r="I632" s="31"/>
      <c r="J632" s="31"/>
      <c r="K632" s="31"/>
      <c r="L632" s="31"/>
    </row>
    <row r="633" ht="15.75" customHeight="1">
      <c r="A633" s="31"/>
      <c r="B633" s="31"/>
      <c r="C633" s="31"/>
      <c r="D633" s="31"/>
      <c r="E633" s="31"/>
      <c r="F633" s="31"/>
      <c r="G633" s="31"/>
      <c r="H633" s="31"/>
      <c r="I633" s="31"/>
      <c r="J633" s="31"/>
      <c r="K633" s="31"/>
      <c r="L633" s="31"/>
    </row>
    <row r="634" ht="15.75" customHeight="1">
      <c r="A634" s="31"/>
      <c r="B634" s="31"/>
      <c r="C634" s="31"/>
      <c r="D634" s="31"/>
      <c r="E634" s="31"/>
      <c r="F634" s="31"/>
      <c r="G634" s="31"/>
      <c r="H634" s="31"/>
      <c r="I634" s="31"/>
      <c r="J634" s="31"/>
      <c r="K634" s="31"/>
      <c r="L634" s="31"/>
    </row>
    <row r="635" ht="15.75" customHeight="1">
      <c r="A635" s="31"/>
      <c r="B635" s="31"/>
      <c r="C635" s="31"/>
      <c r="D635" s="31"/>
      <c r="E635" s="31"/>
      <c r="F635" s="31"/>
      <c r="G635" s="31"/>
      <c r="H635" s="31"/>
      <c r="I635" s="31"/>
      <c r="J635" s="31"/>
      <c r="K635" s="31"/>
      <c r="L635" s="31"/>
    </row>
    <row r="636" ht="15.75" customHeight="1">
      <c r="A636" s="31"/>
      <c r="B636" s="31"/>
      <c r="C636" s="31"/>
      <c r="D636" s="31"/>
      <c r="E636" s="31"/>
      <c r="F636" s="31"/>
      <c r="G636" s="31"/>
      <c r="H636" s="31"/>
      <c r="I636" s="31"/>
      <c r="J636" s="31"/>
      <c r="K636" s="31"/>
      <c r="L636" s="31"/>
    </row>
    <row r="637" ht="15.75" customHeight="1">
      <c r="A637" s="31"/>
      <c r="B637" s="31"/>
      <c r="C637" s="31"/>
      <c r="D637" s="31"/>
      <c r="E637" s="31"/>
      <c r="F637" s="31"/>
      <c r="G637" s="31"/>
      <c r="H637" s="31"/>
      <c r="I637" s="31"/>
      <c r="J637" s="31"/>
      <c r="K637" s="31"/>
      <c r="L637" s="31"/>
    </row>
    <row r="638" ht="15.75" customHeight="1">
      <c r="A638" s="31"/>
      <c r="B638" s="31"/>
      <c r="C638" s="31"/>
      <c r="D638" s="31"/>
      <c r="E638" s="31"/>
      <c r="F638" s="31"/>
      <c r="G638" s="31"/>
      <c r="H638" s="31"/>
      <c r="I638" s="31"/>
      <c r="J638" s="31"/>
      <c r="K638" s="31"/>
      <c r="L638" s="31"/>
    </row>
    <row r="639" ht="15.75" customHeight="1">
      <c r="A639" s="31"/>
      <c r="B639" s="31"/>
      <c r="C639" s="31"/>
      <c r="D639" s="31"/>
      <c r="E639" s="31"/>
      <c r="F639" s="31"/>
      <c r="G639" s="31"/>
      <c r="H639" s="31"/>
      <c r="I639" s="31"/>
      <c r="J639" s="31"/>
      <c r="K639" s="31"/>
      <c r="L639" s="31"/>
    </row>
    <row r="640" ht="15.75" customHeight="1">
      <c r="A640" s="31"/>
      <c r="B640" s="31"/>
      <c r="C640" s="31"/>
      <c r="D640" s="31"/>
      <c r="E640" s="31"/>
      <c r="F640" s="31"/>
      <c r="G640" s="31"/>
      <c r="H640" s="31"/>
      <c r="I640" s="31"/>
      <c r="J640" s="31"/>
      <c r="K640" s="31"/>
      <c r="L640" s="31"/>
    </row>
    <row r="641" ht="15.75" customHeight="1">
      <c r="A641" s="31"/>
      <c r="B641" s="31"/>
      <c r="C641" s="31"/>
      <c r="D641" s="31"/>
      <c r="E641" s="31"/>
      <c r="F641" s="31"/>
      <c r="G641" s="31"/>
      <c r="H641" s="31"/>
      <c r="I641" s="31"/>
      <c r="J641" s="31"/>
      <c r="K641" s="31"/>
      <c r="L641" s="31"/>
    </row>
    <row r="642" ht="15.75" customHeight="1">
      <c r="A642" s="31"/>
      <c r="B642" s="31"/>
      <c r="C642" s="31"/>
      <c r="D642" s="31"/>
      <c r="E642" s="31"/>
      <c r="F642" s="31"/>
      <c r="G642" s="31"/>
      <c r="H642" s="31"/>
      <c r="I642" s="31"/>
      <c r="J642" s="31"/>
      <c r="K642" s="31"/>
      <c r="L642" s="31"/>
    </row>
    <row r="643" ht="15.75" customHeight="1">
      <c r="A643" s="31"/>
      <c r="B643" s="31"/>
      <c r="C643" s="31"/>
      <c r="D643" s="31"/>
      <c r="E643" s="31"/>
      <c r="F643" s="31"/>
      <c r="G643" s="31"/>
      <c r="H643" s="31"/>
      <c r="I643" s="31"/>
      <c r="J643" s="31"/>
      <c r="K643" s="31"/>
      <c r="L643" s="31"/>
    </row>
    <row r="644" ht="15.75" customHeight="1">
      <c r="A644" s="31"/>
      <c r="B644" s="31"/>
      <c r="C644" s="31"/>
      <c r="D644" s="31"/>
      <c r="E644" s="31"/>
      <c r="F644" s="31"/>
      <c r="G644" s="31"/>
      <c r="H644" s="31"/>
      <c r="I644" s="31"/>
      <c r="J644" s="31"/>
      <c r="K644" s="31"/>
      <c r="L644" s="31"/>
    </row>
    <row r="645" ht="15.75" customHeight="1">
      <c r="A645" s="31"/>
      <c r="B645" s="31"/>
      <c r="C645" s="31"/>
      <c r="D645" s="31"/>
      <c r="E645" s="31"/>
      <c r="F645" s="31"/>
      <c r="G645" s="31"/>
      <c r="H645" s="31"/>
      <c r="I645" s="31"/>
      <c r="J645" s="31"/>
      <c r="K645" s="31"/>
      <c r="L645" s="31"/>
    </row>
    <row r="646" ht="15.75" customHeight="1">
      <c r="A646" s="31"/>
      <c r="B646" s="31"/>
      <c r="C646" s="31"/>
      <c r="D646" s="31"/>
      <c r="E646" s="31"/>
      <c r="F646" s="31"/>
      <c r="G646" s="31"/>
      <c r="H646" s="31"/>
      <c r="I646" s="31"/>
      <c r="J646" s="31"/>
      <c r="K646" s="31"/>
      <c r="L646" s="31"/>
    </row>
    <row r="647" ht="15.75" customHeight="1">
      <c r="A647" s="31"/>
      <c r="B647" s="31"/>
      <c r="C647" s="31"/>
      <c r="D647" s="31"/>
      <c r="E647" s="31"/>
      <c r="F647" s="31"/>
      <c r="G647" s="31"/>
      <c r="H647" s="31"/>
      <c r="I647" s="31"/>
      <c r="J647" s="31"/>
      <c r="K647" s="31"/>
      <c r="L647" s="31"/>
    </row>
    <row r="648" ht="15.75" customHeight="1">
      <c r="A648" s="31"/>
      <c r="B648" s="31"/>
      <c r="C648" s="31"/>
      <c r="D648" s="31"/>
      <c r="E648" s="31"/>
      <c r="F648" s="31"/>
      <c r="G648" s="31"/>
      <c r="H648" s="31"/>
      <c r="I648" s="31"/>
      <c r="J648" s="31"/>
      <c r="K648" s="31"/>
      <c r="L648" s="31"/>
    </row>
    <row r="649" ht="15.75" customHeight="1">
      <c r="A649" s="31"/>
      <c r="B649" s="31"/>
      <c r="C649" s="31"/>
      <c r="D649" s="31"/>
      <c r="E649" s="31"/>
      <c r="F649" s="31"/>
      <c r="G649" s="31"/>
      <c r="H649" s="31"/>
      <c r="I649" s="31"/>
      <c r="J649" s="31"/>
      <c r="K649" s="31"/>
      <c r="L649" s="31"/>
    </row>
    <row r="650" ht="15.75" customHeight="1">
      <c r="A650" s="31"/>
      <c r="B650" s="31"/>
      <c r="C650" s="31"/>
      <c r="D650" s="31"/>
      <c r="E650" s="31"/>
      <c r="F650" s="31"/>
      <c r="G650" s="31"/>
      <c r="H650" s="31"/>
      <c r="I650" s="31"/>
      <c r="J650" s="31"/>
      <c r="K650" s="31"/>
      <c r="L650" s="31"/>
    </row>
    <row r="651" ht="15.75" customHeight="1">
      <c r="A651" s="31"/>
      <c r="B651" s="31"/>
      <c r="C651" s="31"/>
      <c r="D651" s="31"/>
      <c r="E651" s="31"/>
      <c r="F651" s="31"/>
      <c r="G651" s="31"/>
      <c r="H651" s="31"/>
      <c r="I651" s="31"/>
      <c r="J651" s="31"/>
      <c r="K651" s="31"/>
      <c r="L651" s="31"/>
    </row>
    <row r="652" ht="15.75" customHeight="1">
      <c r="A652" s="31"/>
      <c r="B652" s="31"/>
      <c r="C652" s="31"/>
      <c r="D652" s="31"/>
      <c r="E652" s="31"/>
      <c r="F652" s="31"/>
      <c r="G652" s="31"/>
      <c r="H652" s="31"/>
      <c r="I652" s="31"/>
      <c r="J652" s="31"/>
      <c r="K652" s="31"/>
      <c r="L652" s="31"/>
    </row>
    <row r="653" ht="15.75" customHeight="1">
      <c r="A653" s="31"/>
      <c r="B653" s="31"/>
      <c r="C653" s="31"/>
      <c r="D653" s="31"/>
      <c r="E653" s="31"/>
      <c r="F653" s="31"/>
      <c r="G653" s="31"/>
      <c r="H653" s="31"/>
      <c r="I653" s="31"/>
      <c r="J653" s="31"/>
      <c r="K653" s="31"/>
      <c r="L653" s="31"/>
    </row>
    <row r="654" ht="15.75" customHeight="1">
      <c r="A654" s="31"/>
      <c r="B654" s="31"/>
      <c r="C654" s="31"/>
      <c r="D654" s="31"/>
      <c r="E654" s="31"/>
      <c r="F654" s="31"/>
      <c r="G654" s="31"/>
      <c r="H654" s="31"/>
      <c r="I654" s="31"/>
      <c r="J654" s="31"/>
      <c r="K654" s="31"/>
      <c r="L654" s="31"/>
    </row>
    <row r="655" ht="15.75" customHeight="1">
      <c r="A655" s="31"/>
      <c r="B655" s="31"/>
      <c r="C655" s="31"/>
      <c r="D655" s="31"/>
      <c r="E655" s="31"/>
      <c r="F655" s="31"/>
      <c r="G655" s="31"/>
      <c r="H655" s="31"/>
      <c r="I655" s="31"/>
      <c r="J655" s="31"/>
      <c r="K655" s="31"/>
      <c r="L655" s="31"/>
    </row>
    <row r="656" ht="15.75" customHeight="1">
      <c r="A656" s="31"/>
      <c r="B656" s="31"/>
      <c r="C656" s="31"/>
      <c r="D656" s="31"/>
      <c r="E656" s="31"/>
      <c r="F656" s="31"/>
      <c r="G656" s="31"/>
      <c r="H656" s="31"/>
      <c r="I656" s="31"/>
      <c r="J656" s="31"/>
      <c r="K656" s="31"/>
      <c r="L656" s="31"/>
    </row>
    <row r="657" ht="15.75" customHeight="1">
      <c r="A657" s="31"/>
      <c r="B657" s="31"/>
      <c r="C657" s="31"/>
      <c r="D657" s="31"/>
      <c r="E657" s="31"/>
      <c r="F657" s="31"/>
      <c r="G657" s="31"/>
      <c r="H657" s="31"/>
      <c r="I657" s="31"/>
      <c r="J657" s="31"/>
      <c r="K657" s="31"/>
      <c r="L657" s="31"/>
    </row>
    <row r="658" ht="15.75" customHeight="1">
      <c r="A658" s="31"/>
      <c r="B658" s="31"/>
      <c r="C658" s="31"/>
      <c r="D658" s="31"/>
      <c r="E658" s="31"/>
      <c r="F658" s="31"/>
      <c r="G658" s="31"/>
      <c r="H658" s="31"/>
      <c r="I658" s="31"/>
      <c r="J658" s="31"/>
      <c r="K658" s="31"/>
      <c r="L658" s="31"/>
    </row>
    <row r="659" ht="15.75" customHeight="1">
      <c r="A659" s="31"/>
      <c r="B659" s="31"/>
      <c r="C659" s="31"/>
      <c r="D659" s="31"/>
      <c r="E659" s="31"/>
      <c r="F659" s="31"/>
      <c r="G659" s="31"/>
      <c r="H659" s="31"/>
      <c r="I659" s="31"/>
      <c r="J659" s="31"/>
      <c r="K659" s="31"/>
      <c r="L659" s="31"/>
    </row>
    <row r="660" ht="15.75" customHeight="1">
      <c r="A660" s="31"/>
      <c r="B660" s="31"/>
      <c r="C660" s="31"/>
      <c r="D660" s="31"/>
      <c r="E660" s="31"/>
      <c r="F660" s="31"/>
      <c r="G660" s="31"/>
      <c r="H660" s="31"/>
      <c r="I660" s="31"/>
      <c r="J660" s="31"/>
      <c r="K660" s="31"/>
      <c r="L660" s="31"/>
    </row>
    <row r="661" ht="15.75" customHeight="1">
      <c r="A661" s="31"/>
      <c r="B661" s="31"/>
      <c r="C661" s="31"/>
      <c r="D661" s="31"/>
      <c r="E661" s="31"/>
      <c r="F661" s="31"/>
      <c r="G661" s="31"/>
      <c r="H661" s="31"/>
      <c r="I661" s="31"/>
      <c r="J661" s="31"/>
      <c r="K661" s="31"/>
      <c r="L661" s="31"/>
    </row>
    <row r="662" ht="15.75" customHeight="1">
      <c r="A662" s="31"/>
      <c r="B662" s="31"/>
      <c r="C662" s="31"/>
      <c r="D662" s="31"/>
      <c r="E662" s="31"/>
      <c r="F662" s="31"/>
      <c r="G662" s="31"/>
      <c r="H662" s="31"/>
      <c r="I662" s="31"/>
      <c r="J662" s="31"/>
      <c r="K662" s="31"/>
      <c r="L662" s="31"/>
    </row>
    <row r="663" ht="15.75" customHeight="1">
      <c r="A663" s="31"/>
      <c r="B663" s="31"/>
      <c r="C663" s="31"/>
      <c r="D663" s="31"/>
      <c r="E663" s="31"/>
      <c r="F663" s="31"/>
      <c r="G663" s="31"/>
      <c r="H663" s="31"/>
      <c r="I663" s="31"/>
      <c r="J663" s="31"/>
      <c r="K663" s="31"/>
      <c r="L663" s="31"/>
    </row>
    <row r="664" ht="15.75" customHeight="1">
      <c r="A664" s="31"/>
      <c r="B664" s="31"/>
      <c r="C664" s="31"/>
      <c r="D664" s="31"/>
      <c r="E664" s="31"/>
      <c r="F664" s="31"/>
      <c r="G664" s="31"/>
      <c r="H664" s="31"/>
      <c r="I664" s="31"/>
      <c r="J664" s="31"/>
      <c r="K664" s="31"/>
      <c r="L664" s="31"/>
    </row>
    <row r="665" ht="15.75" customHeight="1">
      <c r="A665" s="31"/>
      <c r="B665" s="31"/>
      <c r="C665" s="31"/>
      <c r="D665" s="31"/>
      <c r="E665" s="31"/>
      <c r="F665" s="31"/>
      <c r="G665" s="31"/>
      <c r="H665" s="31"/>
      <c r="I665" s="31"/>
      <c r="J665" s="31"/>
      <c r="K665" s="31"/>
      <c r="L665" s="31"/>
    </row>
    <row r="666" ht="15.75" customHeight="1">
      <c r="A666" s="31"/>
      <c r="B666" s="31"/>
      <c r="C666" s="31"/>
      <c r="D666" s="31"/>
      <c r="E666" s="31"/>
      <c r="F666" s="31"/>
      <c r="G666" s="31"/>
      <c r="H666" s="31"/>
      <c r="I666" s="31"/>
      <c r="J666" s="31"/>
      <c r="K666" s="31"/>
      <c r="L666" s="31"/>
    </row>
    <row r="667" ht="15.75" customHeight="1">
      <c r="A667" s="31"/>
      <c r="B667" s="31"/>
      <c r="C667" s="31"/>
      <c r="D667" s="31"/>
      <c r="E667" s="31"/>
      <c r="F667" s="31"/>
      <c r="G667" s="31"/>
      <c r="H667" s="31"/>
      <c r="I667" s="31"/>
      <c r="J667" s="31"/>
      <c r="K667" s="31"/>
      <c r="L667" s="31"/>
    </row>
    <row r="668" ht="15.75" customHeight="1">
      <c r="A668" s="31"/>
      <c r="B668" s="31"/>
      <c r="C668" s="31"/>
      <c r="D668" s="31"/>
      <c r="E668" s="31"/>
      <c r="F668" s="31"/>
      <c r="G668" s="31"/>
      <c r="H668" s="31"/>
      <c r="I668" s="31"/>
      <c r="J668" s="31"/>
      <c r="K668" s="31"/>
      <c r="L668" s="31"/>
    </row>
    <row r="669" ht="15.75" customHeight="1">
      <c r="A669" s="31"/>
      <c r="B669" s="31"/>
      <c r="C669" s="31"/>
      <c r="D669" s="31"/>
      <c r="E669" s="31"/>
      <c r="F669" s="31"/>
      <c r="G669" s="31"/>
      <c r="H669" s="31"/>
      <c r="I669" s="31"/>
      <c r="J669" s="31"/>
      <c r="K669" s="31"/>
      <c r="L669" s="31"/>
    </row>
    <row r="670" ht="15.75" customHeight="1">
      <c r="A670" s="31"/>
      <c r="B670" s="31"/>
      <c r="C670" s="31"/>
      <c r="D670" s="31"/>
      <c r="E670" s="31"/>
      <c r="F670" s="31"/>
      <c r="G670" s="31"/>
      <c r="H670" s="31"/>
      <c r="I670" s="31"/>
      <c r="J670" s="31"/>
      <c r="K670" s="31"/>
      <c r="L670" s="31"/>
    </row>
    <row r="671" ht="15.75" customHeight="1">
      <c r="A671" s="31"/>
      <c r="B671" s="31"/>
      <c r="C671" s="31"/>
      <c r="D671" s="31"/>
      <c r="E671" s="31"/>
      <c r="F671" s="31"/>
      <c r="G671" s="31"/>
      <c r="H671" s="31"/>
      <c r="I671" s="31"/>
      <c r="J671" s="31"/>
      <c r="K671" s="31"/>
      <c r="L671" s="31"/>
    </row>
    <row r="672" ht="15.75" customHeight="1">
      <c r="A672" s="31"/>
      <c r="B672" s="31"/>
      <c r="C672" s="31"/>
      <c r="D672" s="31"/>
      <c r="E672" s="31"/>
      <c r="F672" s="31"/>
      <c r="G672" s="31"/>
      <c r="H672" s="31"/>
      <c r="I672" s="31"/>
      <c r="J672" s="31"/>
      <c r="K672" s="31"/>
      <c r="L672" s="31"/>
    </row>
    <row r="673" ht="15.75" customHeight="1">
      <c r="A673" s="31"/>
      <c r="B673" s="31"/>
      <c r="C673" s="31"/>
      <c r="D673" s="31"/>
      <c r="E673" s="31"/>
      <c r="F673" s="31"/>
      <c r="G673" s="31"/>
      <c r="H673" s="31"/>
      <c r="I673" s="31"/>
      <c r="J673" s="31"/>
      <c r="K673" s="31"/>
      <c r="L673" s="31"/>
    </row>
    <row r="674" ht="15.75" customHeight="1">
      <c r="A674" s="31"/>
      <c r="B674" s="31"/>
      <c r="C674" s="31"/>
      <c r="D674" s="31"/>
      <c r="E674" s="31"/>
      <c r="F674" s="31"/>
      <c r="G674" s="31"/>
      <c r="H674" s="31"/>
      <c r="I674" s="31"/>
      <c r="J674" s="31"/>
      <c r="K674" s="31"/>
      <c r="L674" s="31"/>
    </row>
    <row r="675" ht="15.75" customHeight="1">
      <c r="A675" s="31"/>
      <c r="B675" s="31"/>
      <c r="C675" s="31"/>
      <c r="D675" s="31"/>
      <c r="E675" s="31"/>
      <c r="F675" s="31"/>
      <c r="G675" s="31"/>
      <c r="H675" s="31"/>
      <c r="I675" s="31"/>
      <c r="J675" s="31"/>
      <c r="K675" s="31"/>
      <c r="L675" s="31"/>
    </row>
    <row r="676" ht="15.75" customHeight="1">
      <c r="A676" s="31"/>
      <c r="B676" s="31"/>
      <c r="C676" s="31"/>
      <c r="D676" s="31"/>
      <c r="E676" s="31"/>
      <c r="F676" s="31"/>
      <c r="G676" s="31"/>
      <c r="H676" s="31"/>
      <c r="I676" s="31"/>
      <c r="J676" s="31"/>
      <c r="K676" s="31"/>
      <c r="L676" s="31"/>
    </row>
    <row r="677" ht="15.75" customHeight="1">
      <c r="A677" s="31"/>
      <c r="B677" s="31"/>
      <c r="C677" s="31"/>
      <c r="D677" s="31"/>
      <c r="E677" s="31"/>
      <c r="F677" s="31"/>
      <c r="G677" s="31"/>
      <c r="H677" s="31"/>
      <c r="I677" s="31"/>
      <c r="J677" s="31"/>
      <c r="K677" s="31"/>
      <c r="L677" s="31"/>
    </row>
    <row r="678" ht="15.75" customHeight="1">
      <c r="A678" s="31"/>
      <c r="B678" s="31"/>
      <c r="C678" s="31"/>
      <c r="D678" s="31"/>
      <c r="E678" s="31"/>
      <c r="F678" s="31"/>
      <c r="G678" s="31"/>
      <c r="H678" s="31"/>
      <c r="I678" s="31"/>
      <c r="J678" s="31"/>
      <c r="K678" s="31"/>
      <c r="L678" s="31"/>
    </row>
    <row r="679" ht="15.75" customHeight="1">
      <c r="A679" s="31"/>
      <c r="B679" s="31"/>
      <c r="C679" s="31"/>
      <c r="D679" s="31"/>
      <c r="E679" s="31"/>
      <c r="F679" s="31"/>
      <c r="G679" s="31"/>
      <c r="H679" s="31"/>
      <c r="I679" s="31"/>
      <c r="J679" s="31"/>
      <c r="K679" s="31"/>
      <c r="L679" s="31"/>
    </row>
    <row r="680" ht="15.75" customHeight="1">
      <c r="A680" s="31"/>
      <c r="B680" s="31"/>
      <c r="C680" s="31"/>
      <c r="D680" s="31"/>
      <c r="E680" s="31"/>
      <c r="F680" s="31"/>
      <c r="G680" s="31"/>
      <c r="H680" s="31"/>
      <c r="I680" s="31"/>
      <c r="J680" s="31"/>
      <c r="K680" s="31"/>
      <c r="L680" s="31"/>
    </row>
    <row r="681" ht="15.75" customHeight="1">
      <c r="A681" s="31"/>
      <c r="B681" s="31"/>
      <c r="C681" s="31"/>
      <c r="D681" s="31"/>
      <c r="E681" s="31"/>
      <c r="F681" s="31"/>
      <c r="G681" s="31"/>
      <c r="H681" s="31"/>
      <c r="I681" s="31"/>
      <c r="J681" s="31"/>
      <c r="K681" s="31"/>
      <c r="L681" s="31"/>
    </row>
    <row r="682" ht="15.75" customHeight="1">
      <c r="A682" s="31"/>
      <c r="B682" s="31"/>
      <c r="C682" s="31"/>
      <c r="D682" s="31"/>
      <c r="E682" s="31"/>
      <c r="F682" s="31"/>
      <c r="G682" s="31"/>
      <c r="H682" s="31"/>
      <c r="I682" s="31"/>
      <c r="J682" s="31"/>
      <c r="K682" s="31"/>
      <c r="L682" s="31"/>
    </row>
    <row r="683" ht="15.75" customHeight="1">
      <c r="A683" s="31"/>
      <c r="B683" s="31"/>
      <c r="C683" s="31"/>
      <c r="D683" s="31"/>
      <c r="E683" s="31"/>
      <c r="F683" s="31"/>
      <c r="G683" s="31"/>
      <c r="H683" s="31"/>
      <c r="I683" s="31"/>
      <c r="J683" s="31"/>
      <c r="K683" s="31"/>
      <c r="L683" s="31"/>
    </row>
    <row r="684" ht="15.75" customHeight="1">
      <c r="A684" s="31"/>
      <c r="B684" s="31"/>
      <c r="C684" s="31"/>
      <c r="D684" s="31"/>
      <c r="E684" s="31"/>
      <c r="F684" s="31"/>
      <c r="G684" s="31"/>
      <c r="H684" s="31"/>
      <c r="I684" s="31"/>
      <c r="J684" s="31"/>
      <c r="K684" s="31"/>
      <c r="L684" s="31"/>
    </row>
    <row r="685" ht="15.75" customHeight="1">
      <c r="A685" s="31"/>
      <c r="B685" s="31"/>
      <c r="C685" s="31"/>
      <c r="D685" s="31"/>
      <c r="E685" s="31"/>
      <c r="F685" s="31"/>
      <c r="G685" s="31"/>
      <c r="H685" s="31"/>
      <c r="I685" s="31"/>
      <c r="J685" s="31"/>
      <c r="K685" s="31"/>
      <c r="L685" s="31"/>
    </row>
    <row r="686" ht="15.75" customHeight="1">
      <c r="A686" s="31"/>
      <c r="B686" s="31"/>
      <c r="C686" s="31"/>
      <c r="D686" s="31"/>
      <c r="E686" s="31"/>
      <c r="F686" s="31"/>
      <c r="G686" s="31"/>
      <c r="H686" s="31"/>
      <c r="I686" s="31"/>
      <c r="J686" s="31"/>
      <c r="K686" s="31"/>
      <c r="L686" s="31"/>
    </row>
    <row r="687" ht="15.75" customHeight="1">
      <c r="A687" s="31"/>
      <c r="B687" s="31"/>
      <c r="C687" s="31"/>
      <c r="D687" s="31"/>
      <c r="E687" s="31"/>
      <c r="F687" s="31"/>
      <c r="G687" s="31"/>
      <c r="H687" s="31"/>
      <c r="I687" s="31"/>
      <c r="J687" s="31"/>
      <c r="K687" s="31"/>
      <c r="L687" s="31"/>
    </row>
    <row r="688" ht="15.75" customHeight="1">
      <c r="A688" s="31"/>
      <c r="B688" s="31"/>
      <c r="C688" s="31"/>
      <c r="D688" s="31"/>
      <c r="E688" s="31"/>
      <c r="F688" s="31"/>
      <c r="G688" s="31"/>
      <c r="H688" s="31"/>
      <c r="I688" s="31"/>
      <c r="J688" s="31"/>
      <c r="K688" s="31"/>
      <c r="L688" s="31"/>
    </row>
    <row r="689" ht="15.75" customHeight="1">
      <c r="A689" s="31"/>
      <c r="B689" s="31"/>
      <c r="C689" s="31"/>
      <c r="D689" s="31"/>
      <c r="E689" s="31"/>
      <c r="F689" s="31"/>
      <c r="G689" s="31"/>
      <c r="H689" s="31"/>
      <c r="I689" s="31"/>
      <c r="J689" s="31"/>
      <c r="K689" s="31"/>
      <c r="L689" s="31"/>
    </row>
    <row r="690" ht="15.75" customHeight="1">
      <c r="A690" s="31"/>
      <c r="B690" s="31"/>
      <c r="C690" s="31"/>
      <c r="D690" s="31"/>
      <c r="E690" s="31"/>
      <c r="F690" s="31"/>
      <c r="G690" s="31"/>
      <c r="H690" s="31"/>
      <c r="I690" s="31"/>
      <c r="J690" s="31"/>
      <c r="K690" s="31"/>
      <c r="L690" s="31"/>
    </row>
    <row r="691" ht="15.75" customHeight="1">
      <c r="A691" s="31"/>
      <c r="B691" s="31"/>
      <c r="C691" s="31"/>
      <c r="D691" s="31"/>
      <c r="E691" s="31"/>
      <c r="F691" s="31"/>
      <c r="G691" s="31"/>
      <c r="H691" s="31"/>
      <c r="I691" s="31"/>
      <c r="J691" s="31"/>
      <c r="K691" s="31"/>
      <c r="L691" s="31"/>
    </row>
    <row r="692" ht="15.75" customHeight="1">
      <c r="A692" s="31"/>
      <c r="B692" s="31"/>
      <c r="C692" s="31"/>
      <c r="D692" s="31"/>
      <c r="E692" s="31"/>
      <c r="F692" s="31"/>
      <c r="G692" s="31"/>
      <c r="H692" s="31"/>
      <c r="I692" s="31"/>
      <c r="J692" s="31"/>
      <c r="K692" s="31"/>
      <c r="L692" s="31"/>
    </row>
    <row r="693" ht="15.75" customHeight="1">
      <c r="A693" s="31"/>
      <c r="B693" s="31"/>
      <c r="C693" s="31"/>
      <c r="D693" s="31"/>
      <c r="E693" s="31"/>
      <c r="F693" s="31"/>
      <c r="G693" s="31"/>
      <c r="H693" s="31"/>
      <c r="I693" s="31"/>
      <c r="J693" s="31"/>
      <c r="K693" s="31"/>
      <c r="L693" s="31"/>
    </row>
    <row r="694" ht="15.75" customHeight="1">
      <c r="A694" s="31"/>
      <c r="B694" s="31"/>
      <c r="C694" s="31"/>
      <c r="D694" s="31"/>
      <c r="E694" s="31"/>
      <c r="F694" s="31"/>
      <c r="G694" s="31"/>
      <c r="H694" s="31"/>
      <c r="I694" s="31"/>
      <c r="J694" s="31"/>
      <c r="K694" s="31"/>
      <c r="L694" s="31"/>
    </row>
    <row r="695" ht="15.75" customHeight="1">
      <c r="A695" s="31"/>
      <c r="B695" s="31"/>
      <c r="C695" s="31"/>
      <c r="D695" s="31"/>
      <c r="E695" s="31"/>
      <c r="F695" s="31"/>
      <c r="G695" s="31"/>
      <c r="H695" s="31"/>
      <c r="I695" s="31"/>
      <c r="J695" s="31"/>
      <c r="K695" s="31"/>
      <c r="L695" s="31"/>
    </row>
    <row r="696" ht="15.75" customHeight="1">
      <c r="A696" s="31"/>
      <c r="B696" s="31"/>
      <c r="C696" s="31"/>
      <c r="D696" s="31"/>
      <c r="E696" s="31"/>
      <c r="F696" s="31"/>
      <c r="G696" s="31"/>
      <c r="H696" s="31"/>
      <c r="I696" s="31"/>
      <c r="J696" s="31"/>
      <c r="K696" s="31"/>
      <c r="L696" s="31"/>
    </row>
    <row r="697" ht="15.75" customHeight="1">
      <c r="A697" s="31"/>
      <c r="B697" s="31"/>
      <c r="C697" s="31"/>
      <c r="D697" s="31"/>
      <c r="E697" s="31"/>
      <c r="F697" s="31"/>
      <c r="G697" s="31"/>
      <c r="H697" s="31"/>
      <c r="I697" s="31"/>
      <c r="J697" s="31"/>
      <c r="K697" s="31"/>
      <c r="L697" s="31"/>
    </row>
    <row r="698" ht="15.75" customHeight="1">
      <c r="A698" s="31"/>
      <c r="B698" s="31"/>
      <c r="C698" s="31"/>
      <c r="D698" s="31"/>
      <c r="E698" s="31"/>
      <c r="F698" s="31"/>
      <c r="G698" s="31"/>
      <c r="H698" s="31"/>
      <c r="I698" s="31"/>
      <c r="J698" s="31"/>
      <c r="K698" s="31"/>
      <c r="L698" s="31"/>
    </row>
    <row r="699" ht="15.75" customHeight="1">
      <c r="A699" s="31"/>
      <c r="B699" s="31"/>
      <c r="C699" s="31"/>
      <c r="D699" s="31"/>
      <c r="E699" s="31"/>
      <c r="F699" s="31"/>
      <c r="G699" s="31"/>
      <c r="H699" s="31"/>
      <c r="I699" s="31"/>
      <c r="J699" s="31"/>
      <c r="K699" s="31"/>
      <c r="L699" s="31"/>
    </row>
    <row r="700" ht="15.75" customHeight="1">
      <c r="A700" s="31"/>
      <c r="B700" s="31"/>
      <c r="C700" s="31"/>
      <c r="D700" s="31"/>
      <c r="E700" s="31"/>
      <c r="F700" s="31"/>
      <c r="G700" s="31"/>
      <c r="H700" s="31"/>
      <c r="I700" s="31"/>
      <c r="J700" s="31"/>
      <c r="K700" s="31"/>
      <c r="L700" s="31"/>
    </row>
    <row r="701" ht="15.75" customHeight="1">
      <c r="A701" s="31"/>
      <c r="B701" s="31"/>
      <c r="C701" s="31"/>
      <c r="D701" s="31"/>
      <c r="E701" s="31"/>
      <c r="F701" s="31"/>
      <c r="G701" s="31"/>
      <c r="H701" s="31"/>
      <c r="I701" s="31"/>
      <c r="J701" s="31"/>
      <c r="K701" s="31"/>
      <c r="L701" s="31"/>
    </row>
    <row r="702" ht="15.75" customHeight="1">
      <c r="A702" s="31"/>
      <c r="B702" s="31"/>
      <c r="C702" s="31"/>
      <c r="D702" s="31"/>
      <c r="E702" s="31"/>
      <c r="F702" s="31"/>
      <c r="G702" s="31"/>
      <c r="H702" s="31"/>
      <c r="I702" s="31"/>
      <c r="J702" s="31"/>
      <c r="K702" s="31"/>
      <c r="L702" s="31"/>
    </row>
    <row r="703" ht="15.75" customHeight="1">
      <c r="A703" s="31"/>
      <c r="B703" s="31"/>
      <c r="C703" s="31"/>
      <c r="D703" s="31"/>
      <c r="E703" s="31"/>
      <c r="F703" s="31"/>
      <c r="G703" s="31"/>
      <c r="H703" s="31"/>
      <c r="I703" s="31"/>
      <c r="J703" s="31"/>
      <c r="K703" s="31"/>
      <c r="L703" s="31"/>
    </row>
    <row r="704" ht="15.75" customHeight="1">
      <c r="A704" s="31"/>
      <c r="B704" s="31"/>
      <c r="C704" s="31"/>
      <c r="D704" s="31"/>
      <c r="E704" s="31"/>
      <c r="F704" s="31"/>
      <c r="G704" s="31"/>
      <c r="H704" s="31"/>
      <c r="I704" s="31"/>
      <c r="J704" s="31"/>
      <c r="K704" s="31"/>
      <c r="L704" s="31"/>
    </row>
    <row r="705" ht="15.75" customHeight="1">
      <c r="A705" s="31"/>
      <c r="B705" s="31"/>
      <c r="C705" s="31"/>
      <c r="D705" s="31"/>
      <c r="E705" s="31"/>
      <c r="F705" s="31"/>
      <c r="G705" s="31"/>
      <c r="H705" s="31"/>
      <c r="I705" s="31"/>
      <c r="J705" s="31"/>
      <c r="K705" s="31"/>
      <c r="L705" s="31"/>
    </row>
    <row r="706" ht="15.75" customHeight="1">
      <c r="A706" s="31"/>
      <c r="B706" s="31"/>
      <c r="C706" s="31"/>
      <c r="D706" s="31"/>
      <c r="E706" s="31"/>
      <c r="F706" s="31"/>
      <c r="G706" s="31"/>
      <c r="H706" s="31"/>
      <c r="I706" s="31"/>
      <c r="J706" s="31"/>
      <c r="K706" s="31"/>
      <c r="L706" s="31"/>
    </row>
    <row r="707" ht="15.75" customHeight="1">
      <c r="A707" s="31"/>
      <c r="B707" s="31"/>
      <c r="C707" s="31"/>
      <c r="D707" s="31"/>
      <c r="E707" s="31"/>
      <c r="F707" s="31"/>
      <c r="G707" s="31"/>
      <c r="H707" s="31"/>
      <c r="I707" s="31"/>
      <c r="J707" s="31"/>
      <c r="K707" s="31"/>
      <c r="L707" s="31"/>
    </row>
    <row r="708" ht="15.75" customHeight="1">
      <c r="A708" s="31"/>
      <c r="B708" s="31"/>
      <c r="C708" s="31"/>
      <c r="D708" s="31"/>
      <c r="E708" s="31"/>
      <c r="F708" s="31"/>
      <c r="G708" s="31"/>
      <c r="H708" s="31"/>
      <c r="I708" s="31"/>
      <c r="J708" s="31"/>
      <c r="K708" s="31"/>
      <c r="L708" s="31"/>
    </row>
    <row r="709" ht="15.75" customHeight="1">
      <c r="A709" s="31"/>
      <c r="B709" s="31"/>
      <c r="C709" s="31"/>
      <c r="D709" s="31"/>
      <c r="E709" s="31"/>
      <c r="F709" s="31"/>
      <c r="G709" s="31"/>
      <c r="H709" s="31"/>
      <c r="I709" s="31"/>
      <c r="J709" s="31"/>
      <c r="K709" s="31"/>
      <c r="L709" s="31"/>
    </row>
    <row r="710" ht="15.75" customHeight="1">
      <c r="A710" s="31"/>
      <c r="B710" s="31"/>
      <c r="C710" s="31"/>
      <c r="D710" s="31"/>
      <c r="E710" s="31"/>
      <c r="F710" s="31"/>
      <c r="G710" s="31"/>
      <c r="H710" s="31"/>
      <c r="I710" s="31"/>
      <c r="J710" s="31"/>
      <c r="K710" s="31"/>
      <c r="L710" s="31"/>
    </row>
    <row r="711" ht="15.75" customHeight="1">
      <c r="A711" s="31"/>
      <c r="B711" s="31"/>
      <c r="C711" s="31"/>
      <c r="D711" s="31"/>
      <c r="E711" s="31"/>
      <c r="F711" s="31"/>
      <c r="G711" s="31"/>
      <c r="H711" s="31"/>
      <c r="I711" s="31"/>
      <c r="J711" s="31"/>
      <c r="K711" s="31"/>
      <c r="L711" s="31"/>
    </row>
    <row r="712" ht="15.75" customHeight="1">
      <c r="A712" s="31"/>
      <c r="B712" s="31"/>
      <c r="C712" s="31"/>
      <c r="D712" s="31"/>
      <c r="E712" s="31"/>
      <c r="F712" s="31"/>
      <c r="G712" s="31"/>
      <c r="H712" s="31"/>
      <c r="I712" s="31"/>
      <c r="J712" s="31"/>
      <c r="K712" s="31"/>
      <c r="L712" s="31"/>
    </row>
    <row r="713" ht="15.75" customHeight="1">
      <c r="A713" s="31"/>
      <c r="B713" s="31"/>
      <c r="C713" s="31"/>
      <c r="D713" s="31"/>
      <c r="E713" s="31"/>
      <c r="F713" s="31"/>
      <c r="G713" s="31"/>
      <c r="H713" s="31"/>
      <c r="I713" s="31"/>
      <c r="J713" s="31"/>
      <c r="K713" s="31"/>
      <c r="L713" s="31"/>
    </row>
    <row r="714" ht="15.75" customHeight="1">
      <c r="A714" s="31"/>
      <c r="B714" s="31"/>
      <c r="C714" s="31"/>
      <c r="D714" s="31"/>
      <c r="E714" s="31"/>
      <c r="F714" s="31"/>
      <c r="G714" s="31"/>
      <c r="H714" s="31"/>
      <c r="I714" s="31"/>
      <c r="J714" s="31"/>
      <c r="K714" s="31"/>
      <c r="L714" s="31"/>
    </row>
    <row r="715" ht="15.75" customHeight="1">
      <c r="A715" s="31"/>
      <c r="B715" s="31"/>
      <c r="C715" s="31"/>
      <c r="D715" s="31"/>
      <c r="E715" s="31"/>
      <c r="F715" s="31"/>
      <c r="G715" s="31"/>
      <c r="H715" s="31"/>
      <c r="I715" s="31"/>
      <c r="J715" s="31"/>
      <c r="K715" s="31"/>
      <c r="L715" s="31"/>
    </row>
    <row r="716" ht="15.75" customHeight="1">
      <c r="A716" s="31"/>
      <c r="B716" s="31"/>
      <c r="C716" s="31"/>
      <c r="D716" s="31"/>
      <c r="E716" s="31"/>
      <c r="F716" s="31"/>
      <c r="G716" s="31"/>
      <c r="H716" s="31"/>
      <c r="I716" s="31"/>
      <c r="J716" s="31"/>
      <c r="K716" s="31"/>
      <c r="L716" s="31"/>
    </row>
    <row r="717" ht="15.75" customHeight="1">
      <c r="A717" s="31"/>
      <c r="B717" s="31"/>
      <c r="C717" s="31"/>
      <c r="D717" s="31"/>
      <c r="E717" s="31"/>
      <c r="F717" s="31"/>
      <c r="G717" s="31"/>
      <c r="H717" s="31"/>
      <c r="I717" s="31"/>
      <c r="J717" s="31"/>
      <c r="K717" s="31"/>
      <c r="L717" s="31"/>
    </row>
    <row r="718" ht="15.75" customHeight="1">
      <c r="A718" s="31"/>
      <c r="B718" s="31"/>
      <c r="C718" s="31"/>
      <c r="D718" s="31"/>
      <c r="E718" s="31"/>
      <c r="F718" s="31"/>
      <c r="G718" s="31"/>
      <c r="H718" s="31"/>
      <c r="I718" s="31"/>
      <c r="J718" s="31"/>
      <c r="K718" s="31"/>
      <c r="L718" s="31"/>
    </row>
    <row r="719" ht="15.75" customHeight="1">
      <c r="A719" s="31"/>
      <c r="B719" s="31"/>
      <c r="C719" s="31"/>
      <c r="D719" s="31"/>
      <c r="E719" s="31"/>
      <c r="F719" s="31"/>
      <c r="G719" s="31"/>
      <c r="H719" s="31"/>
      <c r="I719" s="31"/>
      <c r="J719" s="31"/>
      <c r="K719" s="31"/>
      <c r="L719" s="31"/>
    </row>
    <row r="720" ht="15.75" customHeight="1">
      <c r="A720" s="31"/>
      <c r="B720" s="31"/>
      <c r="C720" s="31"/>
      <c r="D720" s="31"/>
      <c r="E720" s="31"/>
      <c r="F720" s="31"/>
      <c r="G720" s="31"/>
      <c r="H720" s="31"/>
      <c r="I720" s="31"/>
      <c r="J720" s="31"/>
      <c r="K720" s="31"/>
      <c r="L720" s="31"/>
    </row>
    <row r="721" ht="15.75" customHeight="1">
      <c r="A721" s="31"/>
      <c r="B721" s="31"/>
      <c r="C721" s="31"/>
      <c r="D721" s="31"/>
      <c r="E721" s="31"/>
      <c r="F721" s="31"/>
      <c r="G721" s="31"/>
      <c r="H721" s="31"/>
      <c r="I721" s="31"/>
      <c r="J721" s="31"/>
      <c r="K721" s="31"/>
      <c r="L721" s="31"/>
    </row>
    <row r="722" ht="15.75" customHeight="1">
      <c r="A722" s="31"/>
      <c r="B722" s="31"/>
      <c r="C722" s="31"/>
      <c r="D722" s="31"/>
      <c r="E722" s="31"/>
      <c r="F722" s="31"/>
      <c r="G722" s="31"/>
      <c r="H722" s="31"/>
      <c r="I722" s="31"/>
      <c r="J722" s="31"/>
      <c r="K722" s="31"/>
      <c r="L722" s="31"/>
    </row>
    <row r="723" ht="15.75" customHeight="1">
      <c r="A723" s="31"/>
      <c r="B723" s="31"/>
      <c r="C723" s="31"/>
      <c r="D723" s="31"/>
      <c r="E723" s="31"/>
      <c r="F723" s="31"/>
      <c r="G723" s="31"/>
      <c r="H723" s="31"/>
      <c r="I723" s="31"/>
      <c r="J723" s="31"/>
      <c r="K723" s="31"/>
      <c r="L723" s="31"/>
    </row>
    <row r="724" ht="15.75" customHeight="1">
      <c r="A724" s="31"/>
      <c r="B724" s="31"/>
      <c r="C724" s="31"/>
      <c r="D724" s="31"/>
      <c r="E724" s="31"/>
      <c r="F724" s="31"/>
      <c r="G724" s="31"/>
      <c r="H724" s="31"/>
      <c r="I724" s="31"/>
      <c r="J724" s="31"/>
      <c r="K724" s="31"/>
      <c r="L724" s="31"/>
    </row>
    <row r="725" ht="15.75" customHeight="1">
      <c r="A725" s="31"/>
      <c r="B725" s="31"/>
      <c r="C725" s="31"/>
      <c r="D725" s="31"/>
      <c r="E725" s="31"/>
      <c r="F725" s="31"/>
      <c r="G725" s="31"/>
      <c r="H725" s="31"/>
      <c r="I725" s="31"/>
      <c r="J725" s="31"/>
      <c r="K725" s="31"/>
      <c r="L725" s="31"/>
    </row>
    <row r="726" ht="15.75" customHeight="1">
      <c r="A726" s="31"/>
      <c r="B726" s="31"/>
      <c r="C726" s="31"/>
      <c r="D726" s="31"/>
      <c r="E726" s="31"/>
      <c r="F726" s="31"/>
      <c r="G726" s="31"/>
      <c r="H726" s="31"/>
      <c r="I726" s="31"/>
      <c r="J726" s="31"/>
      <c r="K726" s="31"/>
      <c r="L726" s="31"/>
    </row>
    <row r="727" ht="15.75" customHeight="1">
      <c r="A727" s="31"/>
      <c r="B727" s="31"/>
      <c r="C727" s="31"/>
      <c r="D727" s="31"/>
      <c r="E727" s="31"/>
      <c r="F727" s="31"/>
      <c r="G727" s="31"/>
      <c r="H727" s="31"/>
      <c r="I727" s="31"/>
      <c r="J727" s="31"/>
      <c r="K727" s="31"/>
      <c r="L727" s="31"/>
    </row>
    <row r="728" ht="15.75" customHeight="1">
      <c r="A728" s="31"/>
      <c r="B728" s="31"/>
      <c r="C728" s="31"/>
      <c r="D728" s="31"/>
      <c r="E728" s="31"/>
      <c r="F728" s="31"/>
      <c r="G728" s="31"/>
      <c r="H728" s="31"/>
      <c r="I728" s="31"/>
      <c r="J728" s="31"/>
      <c r="K728" s="31"/>
      <c r="L728" s="31"/>
    </row>
    <row r="729" ht="15.75" customHeight="1">
      <c r="A729" s="31"/>
      <c r="B729" s="31"/>
      <c r="C729" s="31"/>
      <c r="D729" s="31"/>
      <c r="E729" s="31"/>
      <c r="F729" s="31"/>
      <c r="G729" s="31"/>
      <c r="H729" s="31"/>
      <c r="I729" s="31"/>
      <c r="J729" s="31"/>
      <c r="K729" s="31"/>
      <c r="L729" s="31"/>
    </row>
    <row r="730" ht="15.75" customHeight="1">
      <c r="A730" s="31"/>
      <c r="B730" s="31"/>
      <c r="C730" s="31"/>
      <c r="D730" s="31"/>
      <c r="E730" s="31"/>
      <c r="F730" s="31"/>
      <c r="G730" s="31"/>
      <c r="H730" s="31"/>
      <c r="I730" s="31"/>
      <c r="J730" s="31"/>
      <c r="K730" s="31"/>
      <c r="L730" s="31"/>
    </row>
    <row r="731" ht="15.75" customHeight="1">
      <c r="A731" s="31"/>
      <c r="B731" s="31"/>
      <c r="C731" s="31"/>
      <c r="D731" s="31"/>
      <c r="E731" s="31"/>
      <c r="F731" s="31"/>
      <c r="G731" s="31"/>
      <c r="H731" s="31"/>
      <c r="I731" s="31"/>
      <c r="J731" s="31"/>
      <c r="K731" s="31"/>
      <c r="L731" s="31"/>
    </row>
    <row r="732" ht="15.75" customHeight="1">
      <c r="A732" s="31"/>
      <c r="B732" s="31"/>
      <c r="C732" s="31"/>
      <c r="D732" s="31"/>
      <c r="E732" s="31"/>
      <c r="F732" s="31"/>
      <c r="G732" s="31"/>
      <c r="H732" s="31"/>
      <c r="I732" s="31"/>
      <c r="J732" s="31"/>
      <c r="K732" s="31"/>
      <c r="L732" s="31"/>
    </row>
    <row r="733" ht="15.75" customHeight="1">
      <c r="A733" s="31"/>
      <c r="B733" s="31"/>
      <c r="C733" s="31"/>
      <c r="D733" s="31"/>
      <c r="E733" s="31"/>
      <c r="F733" s="31"/>
      <c r="G733" s="31"/>
      <c r="H733" s="31"/>
      <c r="I733" s="31"/>
      <c r="J733" s="31"/>
      <c r="K733" s="31"/>
      <c r="L733" s="31"/>
    </row>
    <row r="734" ht="15.75" customHeight="1">
      <c r="A734" s="31"/>
      <c r="B734" s="31"/>
      <c r="C734" s="31"/>
      <c r="D734" s="31"/>
      <c r="E734" s="31"/>
      <c r="F734" s="31"/>
      <c r="G734" s="31"/>
      <c r="H734" s="31"/>
      <c r="I734" s="31"/>
      <c r="J734" s="31"/>
      <c r="K734" s="31"/>
      <c r="L734" s="31"/>
    </row>
    <row r="735" ht="15.75" customHeight="1">
      <c r="A735" s="31"/>
      <c r="B735" s="31"/>
      <c r="C735" s="31"/>
      <c r="D735" s="31"/>
      <c r="E735" s="31"/>
      <c r="F735" s="31"/>
      <c r="G735" s="31"/>
      <c r="H735" s="31"/>
      <c r="I735" s="31"/>
      <c r="J735" s="31"/>
      <c r="K735" s="31"/>
      <c r="L735" s="31"/>
    </row>
    <row r="736" ht="15.75" customHeight="1">
      <c r="A736" s="31"/>
      <c r="B736" s="31"/>
      <c r="C736" s="31"/>
      <c r="D736" s="31"/>
      <c r="E736" s="31"/>
      <c r="F736" s="31"/>
      <c r="G736" s="31"/>
      <c r="H736" s="31"/>
      <c r="I736" s="31"/>
      <c r="J736" s="31"/>
      <c r="K736" s="31"/>
      <c r="L736" s="31"/>
    </row>
    <row r="737" ht="15.75" customHeight="1">
      <c r="A737" s="31"/>
      <c r="B737" s="31"/>
      <c r="C737" s="31"/>
      <c r="D737" s="31"/>
      <c r="E737" s="31"/>
      <c r="F737" s="31"/>
      <c r="G737" s="31"/>
      <c r="H737" s="31"/>
      <c r="I737" s="31"/>
      <c r="J737" s="31"/>
      <c r="K737" s="31"/>
      <c r="L737" s="31"/>
    </row>
    <row r="738" ht="15.75" customHeight="1">
      <c r="A738" s="31"/>
      <c r="B738" s="31"/>
      <c r="C738" s="31"/>
      <c r="D738" s="31"/>
      <c r="E738" s="31"/>
      <c r="F738" s="31"/>
      <c r="G738" s="31"/>
      <c r="H738" s="31"/>
      <c r="I738" s="31"/>
      <c r="J738" s="31"/>
      <c r="K738" s="31"/>
      <c r="L738" s="31"/>
    </row>
    <row r="739" ht="15.75" customHeight="1">
      <c r="A739" s="31"/>
      <c r="B739" s="31"/>
      <c r="C739" s="31"/>
      <c r="D739" s="31"/>
      <c r="E739" s="31"/>
      <c r="F739" s="31"/>
      <c r="G739" s="31"/>
      <c r="H739" s="31"/>
      <c r="I739" s="31"/>
      <c r="J739" s="31"/>
      <c r="K739" s="31"/>
      <c r="L739" s="31"/>
    </row>
    <row r="740" ht="15.75" customHeight="1">
      <c r="A740" s="31"/>
      <c r="B740" s="31"/>
      <c r="C740" s="31"/>
      <c r="D740" s="31"/>
      <c r="E740" s="31"/>
      <c r="F740" s="31"/>
      <c r="G740" s="31"/>
      <c r="H740" s="31"/>
      <c r="I740" s="31"/>
      <c r="J740" s="31"/>
      <c r="K740" s="31"/>
      <c r="L740" s="31"/>
    </row>
    <row r="741" ht="15.75" customHeight="1">
      <c r="A741" s="31"/>
      <c r="B741" s="31"/>
      <c r="C741" s="31"/>
      <c r="D741" s="31"/>
      <c r="E741" s="31"/>
      <c r="F741" s="31"/>
      <c r="G741" s="31"/>
      <c r="H741" s="31"/>
      <c r="I741" s="31"/>
      <c r="J741" s="31"/>
      <c r="K741" s="31"/>
      <c r="L741" s="31"/>
    </row>
    <row r="742" ht="15.75" customHeight="1">
      <c r="A742" s="31"/>
      <c r="B742" s="31"/>
      <c r="C742" s="31"/>
      <c r="D742" s="31"/>
      <c r="E742" s="31"/>
      <c r="F742" s="31"/>
      <c r="G742" s="31"/>
      <c r="H742" s="31"/>
      <c r="I742" s="31"/>
      <c r="J742" s="31"/>
      <c r="K742" s="31"/>
      <c r="L742" s="31"/>
    </row>
    <row r="743" ht="15.75" customHeight="1">
      <c r="A743" s="31"/>
      <c r="B743" s="31"/>
      <c r="C743" s="31"/>
      <c r="D743" s="31"/>
      <c r="E743" s="31"/>
      <c r="F743" s="31"/>
      <c r="G743" s="31"/>
      <c r="H743" s="31"/>
      <c r="I743" s="31"/>
      <c r="J743" s="31"/>
      <c r="K743" s="31"/>
      <c r="L743" s="31"/>
    </row>
    <row r="744" ht="15.75" customHeight="1">
      <c r="A744" s="31"/>
      <c r="B744" s="31"/>
      <c r="C744" s="31"/>
      <c r="D744" s="31"/>
      <c r="E744" s="31"/>
      <c r="F744" s="31"/>
      <c r="G744" s="31"/>
      <c r="H744" s="31"/>
      <c r="I744" s="31"/>
      <c r="J744" s="31"/>
      <c r="K744" s="31"/>
      <c r="L744" s="31"/>
    </row>
    <row r="745" ht="15.75" customHeight="1">
      <c r="A745" s="31"/>
      <c r="B745" s="31"/>
      <c r="C745" s="31"/>
      <c r="D745" s="31"/>
      <c r="E745" s="31"/>
      <c r="F745" s="31"/>
      <c r="G745" s="31"/>
      <c r="H745" s="31"/>
      <c r="I745" s="31"/>
      <c r="J745" s="31"/>
      <c r="K745" s="31"/>
      <c r="L745" s="31"/>
    </row>
    <row r="746" ht="15.75" customHeight="1">
      <c r="A746" s="31"/>
      <c r="B746" s="31"/>
      <c r="C746" s="31"/>
      <c r="D746" s="31"/>
      <c r="E746" s="31"/>
      <c r="F746" s="31"/>
      <c r="G746" s="31"/>
      <c r="H746" s="31"/>
      <c r="I746" s="31"/>
      <c r="J746" s="31"/>
      <c r="K746" s="31"/>
      <c r="L746" s="31"/>
    </row>
    <row r="747" ht="15.75" customHeight="1">
      <c r="A747" s="31"/>
      <c r="B747" s="31"/>
      <c r="C747" s="31"/>
      <c r="D747" s="31"/>
      <c r="E747" s="31"/>
      <c r="F747" s="31"/>
      <c r="G747" s="31"/>
      <c r="H747" s="31"/>
      <c r="I747" s="31"/>
      <c r="J747" s="31"/>
      <c r="K747" s="31"/>
      <c r="L747" s="31"/>
    </row>
    <row r="748" ht="15.75" customHeight="1">
      <c r="A748" s="31"/>
      <c r="B748" s="31"/>
      <c r="C748" s="31"/>
      <c r="D748" s="31"/>
      <c r="E748" s="31"/>
      <c r="F748" s="31"/>
      <c r="G748" s="31"/>
      <c r="H748" s="31"/>
      <c r="I748" s="31"/>
      <c r="J748" s="31"/>
      <c r="K748" s="31"/>
      <c r="L748" s="31"/>
    </row>
    <row r="749" ht="15.75" customHeight="1">
      <c r="A749" s="31"/>
      <c r="B749" s="31"/>
      <c r="C749" s="31"/>
      <c r="D749" s="31"/>
      <c r="E749" s="31"/>
      <c r="F749" s="31"/>
      <c r="G749" s="31"/>
      <c r="H749" s="31"/>
      <c r="I749" s="31"/>
      <c r="J749" s="31"/>
      <c r="K749" s="31"/>
      <c r="L749" s="31"/>
    </row>
    <row r="750" ht="15.75" customHeight="1">
      <c r="A750" s="31"/>
      <c r="B750" s="31"/>
      <c r="C750" s="31"/>
      <c r="D750" s="31"/>
      <c r="E750" s="31"/>
      <c r="F750" s="31"/>
      <c r="G750" s="31"/>
      <c r="H750" s="31"/>
      <c r="I750" s="31"/>
      <c r="J750" s="31"/>
      <c r="K750" s="31"/>
      <c r="L750" s="31"/>
    </row>
    <row r="751" ht="15.75" customHeight="1">
      <c r="A751" s="31"/>
      <c r="B751" s="31"/>
      <c r="C751" s="31"/>
      <c r="D751" s="31"/>
      <c r="E751" s="31"/>
      <c r="F751" s="31"/>
      <c r="G751" s="31"/>
      <c r="H751" s="31"/>
      <c r="I751" s="31"/>
      <c r="J751" s="31"/>
      <c r="K751" s="31"/>
      <c r="L751" s="31"/>
    </row>
    <row r="752" ht="15.75" customHeight="1">
      <c r="A752" s="31"/>
      <c r="B752" s="31"/>
      <c r="C752" s="31"/>
      <c r="D752" s="31"/>
      <c r="E752" s="31"/>
      <c r="F752" s="31"/>
      <c r="G752" s="31"/>
      <c r="H752" s="31"/>
      <c r="I752" s="31"/>
      <c r="J752" s="31"/>
      <c r="K752" s="31"/>
      <c r="L752" s="31"/>
    </row>
    <row r="753" ht="15.75" customHeight="1">
      <c r="A753" s="31"/>
      <c r="B753" s="31"/>
      <c r="C753" s="31"/>
      <c r="D753" s="31"/>
      <c r="E753" s="31"/>
      <c r="F753" s="31"/>
      <c r="G753" s="31"/>
      <c r="H753" s="31"/>
      <c r="I753" s="31"/>
      <c r="J753" s="31"/>
      <c r="K753" s="31"/>
      <c r="L753" s="31"/>
    </row>
    <row r="754" ht="15.75" customHeight="1">
      <c r="A754" s="31"/>
      <c r="B754" s="31"/>
      <c r="C754" s="31"/>
      <c r="D754" s="31"/>
      <c r="E754" s="31"/>
      <c r="F754" s="31"/>
      <c r="G754" s="31"/>
      <c r="H754" s="31"/>
      <c r="I754" s="31"/>
      <c r="J754" s="31"/>
      <c r="K754" s="31"/>
      <c r="L754" s="31"/>
    </row>
    <row r="755" ht="15.75" customHeight="1">
      <c r="A755" s="31"/>
      <c r="B755" s="31"/>
      <c r="C755" s="31"/>
      <c r="D755" s="31"/>
      <c r="E755" s="31"/>
      <c r="F755" s="31"/>
      <c r="G755" s="31"/>
      <c r="H755" s="31"/>
      <c r="I755" s="31"/>
      <c r="J755" s="31"/>
      <c r="K755" s="31"/>
      <c r="L755" s="31"/>
    </row>
    <row r="756" ht="15.75" customHeight="1">
      <c r="A756" s="31"/>
      <c r="B756" s="31"/>
      <c r="C756" s="31"/>
      <c r="D756" s="31"/>
      <c r="E756" s="31"/>
      <c r="F756" s="31"/>
      <c r="G756" s="31"/>
      <c r="H756" s="31"/>
      <c r="I756" s="31"/>
      <c r="J756" s="31"/>
      <c r="K756" s="31"/>
      <c r="L756" s="31"/>
    </row>
    <row r="757" ht="15.75" customHeight="1">
      <c r="A757" s="31"/>
      <c r="B757" s="31"/>
      <c r="C757" s="31"/>
      <c r="D757" s="31"/>
      <c r="E757" s="31"/>
      <c r="F757" s="31"/>
      <c r="G757" s="31"/>
      <c r="H757" s="31"/>
      <c r="I757" s="31"/>
      <c r="J757" s="31"/>
      <c r="K757" s="31"/>
      <c r="L757" s="31"/>
    </row>
    <row r="758" ht="15.75" customHeight="1">
      <c r="A758" s="31"/>
      <c r="B758" s="31"/>
      <c r="C758" s="31"/>
      <c r="D758" s="31"/>
      <c r="E758" s="31"/>
      <c r="F758" s="31"/>
      <c r="G758" s="31"/>
      <c r="H758" s="31"/>
      <c r="I758" s="31"/>
      <c r="J758" s="31"/>
      <c r="K758" s="31"/>
      <c r="L758" s="31"/>
    </row>
    <row r="759" ht="15.75" customHeight="1">
      <c r="A759" s="31"/>
      <c r="B759" s="31"/>
      <c r="C759" s="31"/>
      <c r="D759" s="31"/>
      <c r="E759" s="31"/>
      <c r="F759" s="31"/>
      <c r="G759" s="31"/>
      <c r="H759" s="31"/>
      <c r="I759" s="31"/>
      <c r="J759" s="31"/>
      <c r="K759" s="31"/>
      <c r="L759" s="31"/>
    </row>
    <row r="760" ht="15.75" customHeight="1">
      <c r="A760" s="31"/>
      <c r="B760" s="31"/>
      <c r="C760" s="31"/>
      <c r="D760" s="31"/>
      <c r="E760" s="31"/>
      <c r="F760" s="31"/>
      <c r="G760" s="31"/>
      <c r="H760" s="31"/>
      <c r="I760" s="31"/>
      <c r="J760" s="31"/>
      <c r="K760" s="31"/>
      <c r="L760" s="31"/>
    </row>
    <row r="761" ht="15.75" customHeight="1">
      <c r="A761" s="31"/>
      <c r="B761" s="31"/>
      <c r="C761" s="31"/>
      <c r="D761" s="31"/>
      <c r="E761" s="31"/>
      <c r="F761" s="31"/>
      <c r="G761" s="31"/>
      <c r="H761" s="31"/>
      <c r="I761" s="31"/>
      <c r="J761" s="31"/>
      <c r="K761" s="31"/>
      <c r="L761" s="31"/>
    </row>
    <row r="762" ht="15.75" customHeight="1">
      <c r="A762" s="31"/>
      <c r="B762" s="31"/>
      <c r="C762" s="31"/>
      <c r="D762" s="31"/>
      <c r="E762" s="31"/>
      <c r="F762" s="31"/>
      <c r="G762" s="31"/>
      <c r="H762" s="31"/>
      <c r="I762" s="31"/>
      <c r="J762" s="31"/>
      <c r="K762" s="31"/>
      <c r="L762" s="31"/>
    </row>
    <row r="763" ht="15.75" customHeight="1">
      <c r="A763" s="31"/>
      <c r="B763" s="31"/>
      <c r="C763" s="31"/>
      <c r="D763" s="31"/>
      <c r="E763" s="31"/>
      <c r="F763" s="31"/>
      <c r="G763" s="31"/>
      <c r="H763" s="31"/>
      <c r="I763" s="31"/>
      <c r="J763" s="31"/>
      <c r="K763" s="31"/>
      <c r="L763" s="31"/>
    </row>
    <row r="764" ht="15.75" customHeight="1">
      <c r="A764" s="31"/>
      <c r="B764" s="31"/>
      <c r="C764" s="31"/>
      <c r="D764" s="31"/>
      <c r="E764" s="31"/>
      <c r="F764" s="31"/>
      <c r="G764" s="31"/>
      <c r="H764" s="31"/>
      <c r="I764" s="31"/>
      <c r="J764" s="31"/>
      <c r="K764" s="31"/>
      <c r="L764" s="31"/>
    </row>
    <row r="765" ht="15.75" customHeight="1">
      <c r="A765" s="31"/>
      <c r="B765" s="31"/>
      <c r="C765" s="31"/>
      <c r="D765" s="31"/>
      <c r="E765" s="31"/>
      <c r="F765" s="31"/>
      <c r="G765" s="31"/>
      <c r="H765" s="31"/>
      <c r="I765" s="31"/>
      <c r="J765" s="31"/>
      <c r="K765" s="31"/>
      <c r="L765" s="31"/>
    </row>
    <row r="766" ht="15.75" customHeight="1">
      <c r="A766" s="31"/>
      <c r="B766" s="31"/>
      <c r="C766" s="31"/>
      <c r="D766" s="31"/>
      <c r="E766" s="31"/>
      <c r="F766" s="31"/>
      <c r="G766" s="31"/>
      <c r="H766" s="31"/>
      <c r="I766" s="31"/>
      <c r="J766" s="31"/>
      <c r="K766" s="31"/>
      <c r="L766" s="31"/>
    </row>
    <row r="767" ht="15.75" customHeight="1">
      <c r="A767" s="31"/>
      <c r="B767" s="31"/>
      <c r="C767" s="31"/>
      <c r="D767" s="31"/>
      <c r="E767" s="31"/>
      <c r="F767" s="31"/>
      <c r="G767" s="31"/>
      <c r="H767" s="31"/>
      <c r="I767" s="31"/>
      <c r="J767" s="31"/>
      <c r="K767" s="31"/>
      <c r="L767" s="31"/>
    </row>
    <row r="768" ht="15.75" customHeight="1">
      <c r="A768" s="31"/>
      <c r="B768" s="31"/>
      <c r="C768" s="31"/>
      <c r="D768" s="31"/>
      <c r="E768" s="31"/>
      <c r="F768" s="31"/>
      <c r="G768" s="31"/>
      <c r="H768" s="31"/>
      <c r="I768" s="31"/>
      <c r="J768" s="31"/>
      <c r="K768" s="31"/>
      <c r="L768" s="31"/>
    </row>
    <row r="769" ht="15.75" customHeight="1">
      <c r="A769" s="31"/>
      <c r="B769" s="31"/>
      <c r="C769" s="31"/>
      <c r="D769" s="31"/>
      <c r="E769" s="31"/>
      <c r="F769" s="31"/>
      <c r="G769" s="31"/>
      <c r="H769" s="31"/>
      <c r="I769" s="31"/>
      <c r="J769" s="31"/>
      <c r="K769" s="31"/>
      <c r="L769" s="31"/>
    </row>
    <row r="770" ht="15.75" customHeight="1">
      <c r="A770" s="31"/>
      <c r="B770" s="31"/>
      <c r="C770" s="31"/>
      <c r="D770" s="31"/>
      <c r="E770" s="31"/>
      <c r="F770" s="31"/>
      <c r="G770" s="31"/>
      <c r="H770" s="31"/>
      <c r="I770" s="31"/>
      <c r="J770" s="31"/>
      <c r="K770" s="31"/>
      <c r="L770" s="31"/>
    </row>
    <row r="771" ht="15.75" customHeight="1">
      <c r="A771" s="31"/>
      <c r="B771" s="31"/>
      <c r="C771" s="31"/>
      <c r="D771" s="31"/>
      <c r="E771" s="31"/>
      <c r="F771" s="31"/>
      <c r="G771" s="31"/>
      <c r="H771" s="31"/>
      <c r="I771" s="31"/>
      <c r="J771" s="31"/>
      <c r="K771" s="31"/>
      <c r="L771" s="31"/>
    </row>
    <row r="772" ht="15.75" customHeight="1">
      <c r="A772" s="31"/>
      <c r="B772" s="31"/>
      <c r="C772" s="31"/>
      <c r="D772" s="31"/>
      <c r="E772" s="31"/>
      <c r="F772" s="31"/>
      <c r="G772" s="31"/>
      <c r="H772" s="31"/>
      <c r="I772" s="31"/>
      <c r="J772" s="31"/>
      <c r="K772" s="31"/>
      <c r="L772" s="31"/>
    </row>
    <row r="773" ht="15.75" customHeight="1">
      <c r="A773" s="31"/>
      <c r="B773" s="31"/>
      <c r="C773" s="31"/>
      <c r="D773" s="31"/>
      <c r="E773" s="31"/>
      <c r="F773" s="31"/>
      <c r="G773" s="31"/>
      <c r="H773" s="31"/>
      <c r="I773" s="31"/>
      <c r="J773" s="31"/>
      <c r="K773" s="31"/>
      <c r="L773" s="31"/>
    </row>
    <row r="774" ht="15.75" customHeight="1">
      <c r="A774" s="31"/>
      <c r="B774" s="31"/>
      <c r="C774" s="31"/>
      <c r="D774" s="31"/>
      <c r="E774" s="31"/>
      <c r="F774" s="31"/>
      <c r="G774" s="31"/>
      <c r="H774" s="31"/>
      <c r="I774" s="31"/>
      <c r="J774" s="31"/>
      <c r="K774" s="31"/>
      <c r="L774" s="31"/>
    </row>
    <row r="775" ht="15.75" customHeight="1">
      <c r="A775" s="31"/>
      <c r="B775" s="31"/>
      <c r="C775" s="31"/>
      <c r="D775" s="31"/>
      <c r="E775" s="31"/>
      <c r="F775" s="31"/>
      <c r="G775" s="31"/>
      <c r="H775" s="31"/>
      <c r="I775" s="31"/>
      <c r="J775" s="31"/>
      <c r="K775" s="31"/>
      <c r="L775" s="31"/>
    </row>
    <row r="776" ht="15.75" customHeight="1">
      <c r="A776" s="31"/>
      <c r="B776" s="31"/>
      <c r="C776" s="31"/>
      <c r="D776" s="31"/>
      <c r="E776" s="31"/>
      <c r="F776" s="31"/>
      <c r="G776" s="31"/>
      <c r="H776" s="31"/>
      <c r="I776" s="31"/>
      <c r="J776" s="31"/>
      <c r="K776" s="31"/>
      <c r="L776" s="31"/>
    </row>
    <row r="777" ht="15.75" customHeight="1">
      <c r="A777" s="31"/>
      <c r="B777" s="31"/>
      <c r="C777" s="31"/>
      <c r="D777" s="31"/>
      <c r="E777" s="31"/>
      <c r="F777" s="31"/>
      <c r="G777" s="31"/>
      <c r="H777" s="31"/>
      <c r="I777" s="31"/>
      <c r="J777" s="31"/>
      <c r="K777" s="31"/>
      <c r="L777" s="31"/>
    </row>
    <row r="778" ht="15.75" customHeight="1">
      <c r="A778" s="31"/>
      <c r="B778" s="31"/>
      <c r="C778" s="31"/>
      <c r="D778" s="31"/>
      <c r="E778" s="31"/>
      <c r="F778" s="31"/>
      <c r="G778" s="31"/>
      <c r="H778" s="31"/>
      <c r="I778" s="31"/>
      <c r="J778" s="31"/>
      <c r="K778" s="31"/>
      <c r="L778" s="31"/>
    </row>
    <row r="779" ht="15.75" customHeight="1">
      <c r="A779" s="31"/>
      <c r="B779" s="31"/>
      <c r="C779" s="31"/>
      <c r="D779" s="31"/>
      <c r="E779" s="31"/>
      <c r="F779" s="31"/>
      <c r="G779" s="31"/>
      <c r="H779" s="31"/>
      <c r="I779" s="31"/>
      <c r="J779" s="31"/>
      <c r="K779" s="31"/>
      <c r="L779" s="31"/>
    </row>
    <row r="780" ht="15.75" customHeight="1">
      <c r="A780" s="31"/>
      <c r="B780" s="31"/>
      <c r="C780" s="31"/>
      <c r="D780" s="31"/>
      <c r="E780" s="31"/>
      <c r="F780" s="31"/>
      <c r="G780" s="31"/>
      <c r="H780" s="31"/>
      <c r="I780" s="31"/>
      <c r="J780" s="31"/>
      <c r="K780" s="31"/>
      <c r="L780" s="31"/>
    </row>
    <row r="781" ht="15.75" customHeight="1">
      <c r="A781" s="31"/>
      <c r="B781" s="31"/>
      <c r="C781" s="31"/>
      <c r="D781" s="31"/>
      <c r="E781" s="31"/>
      <c r="F781" s="31"/>
      <c r="G781" s="31"/>
      <c r="H781" s="31"/>
      <c r="I781" s="31"/>
      <c r="J781" s="31"/>
      <c r="K781" s="31"/>
      <c r="L781" s="31"/>
    </row>
    <row r="782" ht="15.75" customHeight="1">
      <c r="A782" s="31"/>
      <c r="B782" s="31"/>
      <c r="C782" s="31"/>
      <c r="D782" s="31"/>
      <c r="E782" s="31"/>
      <c r="F782" s="31"/>
      <c r="G782" s="31"/>
      <c r="H782" s="31"/>
      <c r="I782" s="31"/>
      <c r="J782" s="31"/>
      <c r="K782" s="31"/>
      <c r="L782" s="31"/>
    </row>
    <row r="783" ht="15.75" customHeight="1">
      <c r="A783" s="31"/>
      <c r="B783" s="31"/>
      <c r="C783" s="31"/>
      <c r="D783" s="31"/>
      <c r="E783" s="31"/>
      <c r="F783" s="31"/>
      <c r="G783" s="31"/>
      <c r="H783" s="31"/>
      <c r="I783" s="31"/>
      <c r="J783" s="31"/>
      <c r="K783" s="31"/>
      <c r="L783" s="31"/>
    </row>
    <row r="784" ht="15.75" customHeight="1">
      <c r="A784" s="31"/>
      <c r="B784" s="31"/>
      <c r="C784" s="31"/>
      <c r="D784" s="31"/>
      <c r="E784" s="31"/>
      <c r="F784" s="31"/>
      <c r="G784" s="31"/>
      <c r="H784" s="31"/>
      <c r="I784" s="31"/>
      <c r="J784" s="31"/>
      <c r="K784" s="31"/>
      <c r="L784" s="31"/>
    </row>
    <row r="785" ht="15.75" customHeight="1">
      <c r="A785" s="31"/>
      <c r="B785" s="31"/>
      <c r="C785" s="31"/>
      <c r="D785" s="31"/>
      <c r="E785" s="31"/>
      <c r="F785" s="31"/>
      <c r="G785" s="31"/>
      <c r="H785" s="31"/>
      <c r="I785" s="31"/>
      <c r="J785" s="31"/>
      <c r="K785" s="31"/>
      <c r="L785" s="31"/>
    </row>
    <row r="786" ht="15.75" customHeight="1">
      <c r="A786" s="31"/>
      <c r="B786" s="31"/>
      <c r="C786" s="31"/>
      <c r="D786" s="31"/>
      <c r="E786" s="31"/>
      <c r="F786" s="31"/>
      <c r="G786" s="31"/>
      <c r="H786" s="31"/>
      <c r="I786" s="31"/>
      <c r="J786" s="31"/>
      <c r="K786" s="31"/>
      <c r="L786" s="31"/>
    </row>
    <row r="787" ht="15.75" customHeight="1">
      <c r="A787" s="31"/>
      <c r="B787" s="31"/>
      <c r="C787" s="31"/>
      <c r="D787" s="31"/>
      <c r="E787" s="31"/>
      <c r="F787" s="31"/>
      <c r="G787" s="31"/>
      <c r="H787" s="31"/>
      <c r="I787" s="31"/>
      <c r="J787" s="31"/>
      <c r="K787" s="31"/>
      <c r="L787" s="31"/>
    </row>
    <row r="788" ht="15.75" customHeight="1">
      <c r="A788" s="31"/>
      <c r="B788" s="31"/>
      <c r="C788" s="31"/>
      <c r="D788" s="31"/>
      <c r="E788" s="31"/>
      <c r="F788" s="31"/>
      <c r="G788" s="31"/>
      <c r="H788" s="31"/>
      <c r="I788" s="31"/>
      <c r="J788" s="31"/>
      <c r="K788" s="31"/>
      <c r="L788" s="31"/>
    </row>
    <row r="789" ht="15.75" customHeight="1">
      <c r="A789" s="31"/>
      <c r="B789" s="31"/>
      <c r="C789" s="31"/>
      <c r="D789" s="31"/>
      <c r="E789" s="31"/>
      <c r="F789" s="31"/>
      <c r="G789" s="31"/>
      <c r="H789" s="31"/>
      <c r="I789" s="31"/>
      <c r="J789" s="31"/>
      <c r="K789" s="31"/>
      <c r="L789" s="31"/>
    </row>
    <row r="790" ht="15.75" customHeight="1">
      <c r="A790" s="31"/>
      <c r="B790" s="31"/>
      <c r="C790" s="31"/>
      <c r="D790" s="31"/>
      <c r="E790" s="31"/>
      <c r="F790" s="31"/>
      <c r="G790" s="31"/>
      <c r="H790" s="31"/>
      <c r="I790" s="31"/>
      <c r="J790" s="31"/>
      <c r="K790" s="31"/>
      <c r="L790" s="31"/>
    </row>
    <row r="791" ht="15.75" customHeight="1">
      <c r="A791" s="31"/>
      <c r="B791" s="31"/>
      <c r="C791" s="31"/>
      <c r="D791" s="31"/>
      <c r="E791" s="31"/>
      <c r="F791" s="31"/>
      <c r="G791" s="31"/>
      <c r="H791" s="31"/>
      <c r="I791" s="31"/>
      <c r="J791" s="31"/>
      <c r="K791" s="31"/>
      <c r="L791" s="31"/>
    </row>
    <row r="792" ht="15.75" customHeight="1">
      <c r="A792" s="31"/>
      <c r="B792" s="31"/>
      <c r="C792" s="31"/>
      <c r="D792" s="31"/>
      <c r="E792" s="31"/>
      <c r="F792" s="31"/>
      <c r="G792" s="31"/>
      <c r="H792" s="31"/>
      <c r="I792" s="31"/>
      <c r="J792" s="31"/>
      <c r="K792" s="31"/>
      <c r="L792" s="31"/>
    </row>
    <row r="793" ht="15.75" customHeight="1">
      <c r="A793" s="31"/>
      <c r="B793" s="31"/>
      <c r="C793" s="31"/>
      <c r="D793" s="31"/>
      <c r="E793" s="31"/>
      <c r="F793" s="31"/>
      <c r="G793" s="31"/>
      <c r="H793" s="31"/>
      <c r="I793" s="31"/>
      <c r="J793" s="31"/>
      <c r="K793" s="31"/>
      <c r="L793" s="31"/>
    </row>
    <row r="794" ht="15.75" customHeight="1">
      <c r="A794" s="31"/>
      <c r="B794" s="31"/>
      <c r="C794" s="31"/>
      <c r="D794" s="31"/>
      <c r="E794" s="31"/>
      <c r="F794" s="31"/>
      <c r="G794" s="31"/>
      <c r="H794" s="31"/>
      <c r="I794" s="31"/>
      <c r="J794" s="31"/>
      <c r="K794" s="31"/>
      <c r="L794" s="31"/>
    </row>
    <row r="795" ht="15.75" customHeight="1">
      <c r="A795" s="31"/>
      <c r="B795" s="31"/>
      <c r="C795" s="31"/>
      <c r="D795" s="31"/>
      <c r="E795" s="31"/>
      <c r="F795" s="31"/>
      <c r="G795" s="31"/>
      <c r="H795" s="31"/>
      <c r="I795" s="31"/>
      <c r="J795" s="31"/>
      <c r="K795" s="31"/>
      <c r="L795" s="31"/>
    </row>
    <row r="796" ht="15.75" customHeight="1">
      <c r="A796" s="31"/>
      <c r="B796" s="31"/>
      <c r="C796" s="31"/>
      <c r="D796" s="31"/>
      <c r="E796" s="31"/>
      <c r="F796" s="31"/>
      <c r="G796" s="31"/>
      <c r="H796" s="31"/>
      <c r="I796" s="31"/>
      <c r="J796" s="31"/>
      <c r="K796" s="31"/>
      <c r="L796" s="31"/>
    </row>
    <row r="797" ht="15.75" customHeight="1">
      <c r="A797" s="31"/>
      <c r="B797" s="31"/>
      <c r="C797" s="31"/>
      <c r="D797" s="31"/>
      <c r="E797" s="31"/>
      <c r="F797" s="31"/>
      <c r="G797" s="31"/>
      <c r="H797" s="31"/>
      <c r="I797" s="31"/>
      <c r="J797" s="31"/>
      <c r="K797" s="31"/>
      <c r="L797" s="31"/>
    </row>
    <row r="798" ht="15.75" customHeight="1">
      <c r="A798" s="31"/>
      <c r="B798" s="31"/>
      <c r="C798" s="31"/>
      <c r="D798" s="31"/>
      <c r="E798" s="31"/>
      <c r="F798" s="31"/>
      <c r="G798" s="31"/>
      <c r="H798" s="31"/>
      <c r="I798" s="31"/>
      <c r="J798" s="31"/>
      <c r="K798" s="31"/>
      <c r="L798" s="31"/>
    </row>
    <row r="799" ht="15.75" customHeight="1">
      <c r="A799" s="31"/>
      <c r="B799" s="31"/>
      <c r="C799" s="31"/>
      <c r="D799" s="31"/>
      <c r="E799" s="31"/>
      <c r="F799" s="31"/>
      <c r="G799" s="31"/>
      <c r="H799" s="31"/>
      <c r="I799" s="31"/>
      <c r="J799" s="31"/>
      <c r="K799" s="31"/>
      <c r="L799" s="31"/>
    </row>
    <row r="800" ht="15.75" customHeight="1">
      <c r="A800" s="31"/>
      <c r="B800" s="31"/>
      <c r="C800" s="31"/>
      <c r="D800" s="31"/>
      <c r="E800" s="31"/>
      <c r="F800" s="31"/>
      <c r="G800" s="31"/>
      <c r="H800" s="31"/>
      <c r="I800" s="31"/>
      <c r="J800" s="31"/>
      <c r="K800" s="31"/>
      <c r="L800" s="31"/>
    </row>
    <row r="801" ht="15.75" customHeight="1">
      <c r="A801" s="31"/>
      <c r="B801" s="31"/>
      <c r="C801" s="31"/>
      <c r="D801" s="31"/>
      <c r="E801" s="31"/>
      <c r="F801" s="31"/>
      <c r="G801" s="31"/>
      <c r="H801" s="31"/>
      <c r="I801" s="31"/>
      <c r="J801" s="31"/>
      <c r="K801" s="31"/>
      <c r="L801" s="31"/>
    </row>
    <row r="802" ht="15.75" customHeight="1">
      <c r="A802" s="31"/>
      <c r="B802" s="31"/>
      <c r="C802" s="31"/>
      <c r="D802" s="31"/>
      <c r="E802" s="31"/>
      <c r="F802" s="31"/>
      <c r="G802" s="31"/>
      <c r="H802" s="31"/>
      <c r="I802" s="31"/>
      <c r="J802" s="31"/>
      <c r="K802" s="31"/>
      <c r="L802" s="31"/>
    </row>
    <row r="803" ht="15.75" customHeight="1">
      <c r="A803" s="31"/>
      <c r="B803" s="31"/>
      <c r="C803" s="31"/>
      <c r="D803" s="31"/>
      <c r="E803" s="31"/>
      <c r="F803" s="31"/>
      <c r="G803" s="31"/>
      <c r="H803" s="31"/>
      <c r="I803" s="31"/>
      <c r="J803" s="31"/>
      <c r="K803" s="31"/>
      <c r="L803" s="31"/>
    </row>
    <row r="804" ht="15.75" customHeight="1">
      <c r="A804" s="31"/>
      <c r="B804" s="31"/>
      <c r="C804" s="31"/>
      <c r="D804" s="31"/>
      <c r="E804" s="31"/>
      <c r="F804" s="31"/>
      <c r="G804" s="31"/>
      <c r="H804" s="31"/>
      <c r="I804" s="31"/>
      <c r="J804" s="31"/>
      <c r="K804" s="31"/>
      <c r="L804" s="31"/>
    </row>
    <row r="805" ht="15.75" customHeight="1">
      <c r="A805" s="31"/>
      <c r="B805" s="31"/>
      <c r="C805" s="31"/>
      <c r="D805" s="31"/>
      <c r="E805" s="31"/>
      <c r="F805" s="31"/>
      <c r="G805" s="31"/>
      <c r="H805" s="31"/>
      <c r="I805" s="31"/>
      <c r="J805" s="31"/>
      <c r="K805" s="31"/>
      <c r="L805" s="31"/>
    </row>
    <row r="806" ht="15.75" customHeight="1">
      <c r="A806" s="31"/>
      <c r="B806" s="31"/>
      <c r="C806" s="31"/>
      <c r="D806" s="31"/>
      <c r="E806" s="31"/>
      <c r="F806" s="31"/>
      <c r="G806" s="31"/>
      <c r="H806" s="31"/>
      <c r="I806" s="31"/>
      <c r="J806" s="31"/>
      <c r="K806" s="31"/>
      <c r="L806" s="31"/>
    </row>
    <row r="807" ht="15.75" customHeight="1">
      <c r="A807" s="31"/>
      <c r="B807" s="31"/>
      <c r="C807" s="31"/>
      <c r="D807" s="31"/>
      <c r="E807" s="31"/>
      <c r="F807" s="31"/>
      <c r="G807" s="31"/>
      <c r="H807" s="31"/>
      <c r="I807" s="31"/>
      <c r="J807" s="31"/>
      <c r="K807" s="31"/>
      <c r="L807" s="31"/>
    </row>
    <row r="808" ht="15.75" customHeight="1">
      <c r="A808" s="31"/>
      <c r="B808" s="31"/>
      <c r="C808" s="31"/>
      <c r="D808" s="31"/>
      <c r="E808" s="31"/>
      <c r="F808" s="31"/>
      <c r="G808" s="31"/>
      <c r="H808" s="31"/>
      <c r="I808" s="31"/>
      <c r="J808" s="31"/>
      <c r="K808" s="31"/>
      <c r="L808" s="31"/>
    </row>
    <row r="809" ht="15.75" customHeight="1">
      <c r="A809" s="31"/>
      <c r="B809" s="31"/>
      <c r="C809" s="31"/>
      <c r="D809" s="31"/>
      <c r="E809" s="31"/>
      <c r="F809" s="31"/>
      <c r="G809" s="31"/>
      <c r="H809" s="31"/>
      <c r="I809" s="31"/>
      <c r="J809" s="31"/>
      <c r="K809" s="31"/>
      <c r="L809" s="31"/>
    </row>
    <row r="810" ht="15.75" customHeight="1">
      <c r="A810" s="31"/>
      <c r="B810" s="31"/>
      <c r="C810" s="31"/>
      <c r="D810" s="31"/>
      <c r="E810" s="31"/>
      <c r="F810" s="31"/>
      <c r="G810" s="31"/>
      <c r="H810" s="31"/>
      <c r="I810" s="31"/>
      <c r="J810" s="31"/>
      <c r="K810" s="31"/>
      <c r="L810" s="31"/>
    </row>
    <row r="811" ht="15.75" customHeight="1">
      <c r="A811" s="31"/>
      <c r="B811" s="31"/>
      <c r="C811" s="31"/>
      <c r="D811" s="31"/>
      <c r="E811" s="31"/>
      <c r="F811" s="31"/>
      <c r="G811" s="31"/>
      <c r="H811" s="31"/>
      <c r="I811" s="31"/>
      <c r="J811" s="31"/>
      <c r="K811" s="31"/>
      <c r="L811" s="31"/>
    </row>
    <row r="812" ht="15.75" customHeight="1">
      <c r="A812" s="31"/>
      <c r="B812" s="31"/>
      <c r="C812" s="31"/>
      <c r="D812" s="31"/>
      <c r="E812" s="31"/>
      <c r="F812" s="31"/>
      <c r="G812" s="31"/>
      <c r="H812" s="31"/>
      <c r="I812" s="31"/>
      <c r="J812" s="31"/>
      <c r="K812" s="31"/>
      <c r="L812" s="31"/>
    </row>
    <row r="813" ht="15.75" customHeight="1">
      <c r="A813" s="31"/>
      <c r="B813" s="31"/>
      <c r="C813" s="31"/>
      <c r="D813" s="31"/>
      <c r="E813" s="31"/>
      <c r="F813" s="31"/>
      <c r="G813" s="31"/>
      <c r="H813" s="31"/>
      <c r="I813" s="31"/>
      <c r="J813" s="31"/>
      <c r="K813" s="31"/>
      <c r="L813" s="31"/>
    </row>
    <row r="814" ht="15.75" customHeight="1">
      <c r="A814" s="31"/>
      <c r="B814" s="31"/>
      <c r="C814" s="31"/>
      <c r="D814" s="31"/>
      <c r="E814" s="31"/>
      <c r="F814" s="31"/>
      <c r="G814" s="31"/>
      <c r="H814" s="31"/>
      <c r="I814" s="31"/>
      <c r="J814" s="31"/>
      <c r="K814" s="31"/>
      <c r="L814" s="31"/>
    </row>
    <row r="815" ht="15.75" customHeight="1">
      <c r="A815" s="31"/>
      <c r="B815" s="31"/>
      <c r="C815" s="31"/>
      <c r="D815" s="31"/>
      <c r="E815" s="31"/>
      <c r="F815" s="31"/>
      <c r="G815" s="31"/>
      <c r="H815" s="31"/>
      <c r="I815" s="31"/>
      <c r="J815" s="31"/>
      <c r="K815" s="31"/>
      <c r="L815" s="31"/>
    </row>
    <row r="816" ht="15.75" customHeight="1">
      <c r="A816" s="31"/>
      <c r="B816" s="31"/>
      <c r="C816" s="31"/>
      <c r="D816" s="31"/>
      <c r="E816" s="31"/>
      <c r="F816" s="31"/>
      <c r="G816" s="31"/>
      <c r="H816" s="31"/>
      <c r="I816" s="31"/>
      <c r="J816" s="31"/>
      <c r="K816" s="31"/>
      <c r="L816" s="31"/>
    </row>
    <row r="817" ht="15.75" customHeight="1">
      <c r="A817" s="31"/>
      <c r="B817" s="31"/>
      <c r="C817" s="31"/>
      <c r="D817" s="31"/>
      <c r="E817" s="31"/>
      <c r="F817" s="31"/>
      <c r="G817" s="31"/>
      <c r="H817" s="31"/>
      <c r="I817" s="31"/>
      <c r="J817" s="31"/>
      <c r="K817" s="31"/>
      <c r="L817" s="31"/>
    </row>
    <row r="818" ht="15.75" customHeight="1">
      <c r="A818" s="31"/>
      <c r="B818" s="31"/>
      <c r="C818" s="31"/>
      <c r="D818" s="31"/>
      <c r="E818" s="31"/>
      <c r="F818" s="31"/>
      <c r="G818" s="31"/>
      <c r="H818" s="31"/>
      <c r="I818" s="31"/>
      <c r="J818" s="31"/>
      <c r="K818" s="31"/>
      <c r="L818" s="31"/>
    </row>
    <row r="819" ht="15.75" customHeight="1">
      <c r="A819" s="31"/>
      <c r="B819" s="31"/>
      <c r="C819" s="31"/>
      <c r="D819" s="31"/>
      <c r="E819" s="31"/>
      <c r="F819" s="31"/>
      <c r="G819" s="31"/>
      <c r="H819" s="31"/>
      <c r="I819" s="31"/>
      <c r="J819" s="31"/>
      <c r="K819" s="31"/>
      <c r="L819" s="31"/>
    </row>
    <row r="820" ht="15.75" customHeight="1">
      <c r="A820" s="31"/>
      <c r="B820" s="31"/>
      <c r="C820" s="31"/>
      <c r="D820" s="31"/>
      <c r="E820" s="31"/>
      <c r="F820" s="31"/>
      <c r="G820" s="31"/>
      <c r="H820" s="31"/>
      <c r="I820" s="31"/>
      <c r="J820" s="31"/>
      <c r="K820" s="31"/>
      <c r="L820" s="31"/>
    </row>
    <row r="821" ht="15.75" customHeight="1">
      <c r="A821" s="31"/>
      <c r="B821" s="31"/>
      <c r="C821" s="31"/>
      <c r="D821" s="31"/>
      <c r="E821" s="31"/>
      <c r="F821" s="31"/>
      <c r="G821" s="31"/>
      <c r="H821" s="31"/>
      <c r="I821" s="31"/>
      <c r="J821" s="31"/>
      <c r="K821" s="31"/>
      <c r="L821" s="31"/>
    </row>
    <row r="822" ht="15.75" customHeight="1">
      <c r="A822" s="31"/>
      <c r="B822" s="31"/>
      <c r="C822" s="31"/>
      <c r="D822" s="31"/>
      <c r="E822" s="31"/>
      <c r="F822" s="31"/>
      <c r="G822" s="31"/>
      <c r="H822" s="31"/>
      <c r="I822" s="31"/>
      <c r="J822" s="31"/>
      <c r="K822" s="31"/>
      <c r="L822" s="31"/>
    </row>
    <row r="823" ht="15.75" customHeight="1">
      <c r="A823" s="31"/>
      <c r="B823" s="31"/>
      <c r="C823" s="31"/>
      <c r="D823" s="31"/>
      <c r="E823" s="31"/>
      <c r="F823" s="31"/>
      <c r="G823" s="31"/>
      <c r="H823" s="31"/>
      <c r="I823" s="31"/>
      <c r="J823" s="31"/>
      <c r="K823" s="31"/>
      <c r="L823" s="31"/>
    </row>
    <row r="824" ht="15.75" customHeight="1">
      <c r="A824" s="31"/>
      <c r="B824" s="31"/>
      <c r="C824" s="31"/>
      <c r="D824" s="31"/>
      <c r="E824" s="31"/>
      <c r="F824" s="31"/>
      <c r="G824" s="31"/>
      <c r="H824" s="31"/>
      <c r="I824" s="31"/>
      <c r="J824" s="31"/>
      <c r="K824" s="31"/>
      <c r="L824" s="31"/>
    </row>
    <row r="825" ht="15.75" customHeight="1">
      <c r="A825" s="31"/>
      <c r="B825" s="31"/>
      <c r="C825" s="31"/>
      <c r="D825" s="31"/>
      <c r="E825" s="31"/>
      <c r="F825" s="31"/>
      <c r="G825" s="31"/>
      <c r="H825" s="31"/>
      <c r="I825" s="31"/>
      <c r="J825" s="31"/>
      <c r="K825" s="31"/>
      <c r="L825" s="31"/>
    </row>
    <row r="826" ht="15.75" customHeight="1">
      <c r="A826" s="31"/>
      <c r="B826" s="31"/>
      <c r="C826" s="31"/>
      <c r="D826" s="31"/>
      <c r="E826" s="31"/>
      <c r="F826" s="31"/>
      <c r="G826" s="31"/>
      <c r="H826" s="31"/>
      <c r="I826" s="31"/>
      <c r="J826" s="31"/>
      <c r="K826" s="31"/>
      <c r="L826" s="31"/>
    </row>
    <row r="827" ht="15.75" customHeight="1">
      <c r="A827" s="31"/>
      <c r="B827" s="31"/>
      <c r="C827" s="31"/>
      <c r="D827" s="31"/>
      <c r="E827" s="31"/>
      <c r="F827" s="31"/>
      <c r="G827" s="31"/>
      <c r="H827" s="31"/>
      <c r="I827" s="31"/>
      <c r="J827" s="31"/>
      <c r="K827" s="31"/>
      <c r="L827" s="31"/>
    </row>
    <row r="828" ht="15.75" customHeight="1">
      <c r="A828" s="31"/>
      <c r="B828" s="31"/>
      <c r="C828" s="31"/>
      <c r="D828" s="31"/>
      <c r="E828" s="31"/>
      <c r="F828" s="31"/>
      <c r="G828" s="31"/>
      <c r="H828" s="31"/>
      <c r="I828" s="31"/>
      <c r="J828" s="31"/>
      <c r="K828" s="31"/>
      <c r="L828" s="31"/>
    </row>
    <row r="829" ht="15.75" customHeight="1">
      <c r="A829" s="31"/>
      <c r="B829" s="31"/>
      <c r="C829" s="31"/>
      <c r="D829" s="31"/>
      <c r="E829" s="31"/>
      <c r="F829" s="31"/>
      <c r="G829" s="31"/>
      <c r="H829" s="31"/>
      <c r="I829" s="31"/>
      <c r="J829" s="31"/>
      <c r="K829" s="31"/>
      <c r="L829" s="31"/>
    </row>
    <row r="830" ht="15.75" customHeight="1">
      <c r="A830" s="31"/>
      <c r="B830" s="31"/>
      <c r="C830" s="31"/>
      <c r="D830" s="31"/>
      <c r="E830" s="31"/>
      <c r="F830" s="31"/>
      <c r="G830" s="31"/>
      <c r="H830" s="31"/>
      <c r="I830" s="31"/>
      <c r="J830" s="31"/>
      <c r="K830" s="31"/>
      <c r="L830" s="31"/>
    </row>
    <row r="831" ht="15.75" customHeight="1">
      <c r="A831" s="31"/>
      <c r="B831" s="31"/>
      <c r="C831" s="31"/>
      <c r="D831" s="31"/>
      <c r="E831" s="31"/>
      <c r="F831" s="31"/>
      <c r="G831" s="31"/>
      <c r="H831" s="31"/>
      <c r="I831" s="31"/>
      <c r="J831" s="31"/>
      <c r="K831" s="31"/>
      <c r="L831" s="31"/>
    </row>
    <row r="832" ht="15.75" customHeight="1">
      <c r="A832" s="31"/>
      <c r="B832" s="31"/>
      <c r="C832" s="31"/>
      <c r="D832" s="31"/>
      <c r="E832" s="31"/>
      <c r="F832" s="31"/>
      <c r="G832" s="31"/>
      <c r="H832" s="31"/>
      <c r="I832" s="31"/>
      <c r="J832" s="31"/>
      <c r="K832" s="31"/>
      <c r="L832" s="31"/>
    </row>
    <row r="833" ht="15.75" customHeight="1">
      <c r="A833" s="31"/>
      <c r="B833" s="31"/>
      <c r="C833" s="31"/>
      <c r="D833" s="31"/>
      <c r="E833" s="31"/>
      <c r="F833" s="31"/>
      <c r="G833" s="31"/>
      <c r="H833" s="31"/>
      <c r="I833" s="31"/>
      <c r="J833" s="31"/>
      <c r="K833" s="31"/>
      <c r="L833" s="31"/>
    </row>
    <row r="834" ht="15.75" customHeight="1">
      <c r="A834" s="31"/>
      <c r="B834" s="31"/>
      <c r="C834" s="31"/>
      <c r="D834" s="31"/>
      <c r="E834" s="31"/>
      <c r="F834" s="31"/>
      <c r="G834" s="31"/>
      <c r="H834" s="31"/>
      <c r="I834" s="31"/>
      <c r="J834" s="31"/>
      <c r="K834" s="31"/>
      <c r="L834" s="31"/>
    </row>
    <row r="835" ht="15.75" customHeight="1">
      <c r="A835" s="31"/>
      <c r="B835" s="31"/>
      <c r="C835" s="31"/>
      <c r="D835" s="31"/>
      <c r="E835" s="31"/>
      <c r="F835" s="31"/>
      <c r="G835" s="31"/>
      <c r="H835" s="31"/>
      <c r="I835" s="31"/>
      <c r="J835" s="31"/>
      <c r="K835" s="31"/>
      <c r="L835" s="31"/>
    </row>
    <row r="836" ht="15.75" customHeight="1">
      <c r="A836" s="31"/>
      <c r="B836" s="31"/>
      <c r="C836" s="31"/>
      <c r="D836" s="31"/>
      <c r="E836" s="31"/>
      <c r="F836" s="31"/>
      <c r="G836" s="31"/>
      <c r="H836" s="31"/>
      <c r="I836" s="31"/>
      <c r="J836" s="31"/>
      <c r="K836" s="31"/>
      <c r="L836" s="31"/>
    </row>
    <row r="837" ht="15.75" customHeight="1">
      <c r="A837" s="31"/>
      <c r="B837" s="31"/>
      <c r="C837" s="31"/>
      <c r="D837" s="31"/>
      <c r="E837" s="31"/>
      <c r="F837" s="31"/>
      <c r="G837" s="31"/>
      <c r="H837" s="31"/>
      <c r="I837" s="31"/>
      <c r="J837" s="31"/>
      <c r="K837" s="31"/>
      <c r="L837" s="31"/>
    </row>
    <row r="838" ht="15.75" customHeight="1">
      <c r="A838" s="31"/>
      <c r="B838" s="31"/>
      <c r="C838" s="31"/>
      <c r="D838" s="31"/>
      <c r="E838" s="31"/>
      <c r="F838" s="31"/>
      <c r="G838" s="31"/>
      <c r="H838" s="31"/>
      <c r="I838" s="31"/>
      <c r="J838" s="31"/>
      <c r="K838" s="31"/>
      <c r="L838" s="31"/>
    </row>
    <row r="839" ht="15.75" customHeight="1">
      <c r="A839" s="31"/>
      <c r="B839" s="31"/>
      <c r="C839" s="31"/>
      <c r="D839" s="31"/>
      <c r="E839" s="31"/>
      <c r="F839" s="31"/>
      <c r="G839" s="31"/>
      <c r="H839" s="31"/>
      <c r="I839" s="31"/>
      <c r="J839" s="31"/>
      <c r="K839" s="31"/>
      <c r="L839" s="31"/>
    </row>
    <row r="840" ht="15.75" customHeight="1">
      <c r="A840" s="31"/>
      <c r="B840" s="31"/>
      <c r="C840" s="31"/>
      <c r="D840" s="31"/>
      <c r="E840" s="31"/>
      <c r="F840" s="31"/>
      <c r="G840" s="31"/>
      <c r="H840" s="31"/>
      <c r="I840" s="31"/>
      <c r="J840" s="31"/>
      <c r="K840" s="31"/>
      <c r="L840" s="31"/>
    </row>
    <row r="841" ht="15.75" customHeight="1">
      <c r="A841" s="31"/>
      <c r="B841" s="31"/>
      <c r="C841" s="31"/>
      <c r="D841" s="31"/>
      <c r="E841" s="31"/>
      <c r="F841" s="31"/>
      <c r="G841" s="31"/>
      <c r="H841" s="31"/>
      <c r="I841" s="31"/>
      <c r="J841" s="31"/>
      <c r="K841" s="31"/>
      <c r="L841" s="31"/>
    </row>
    <row r="842" ht="15.75" customHeight="1">
      <c r="A842" s="31"/>
      <c r="B842" s="31"/>
      <c r="C842" s="31"/>
      <c r="D842" s="31"/>
      <c r="E842" s="31"/>
      <c r="F842" s="31"/>
      <c r="G842" s="31"/>
      <c r="H842" s="31"/>
      <c r="I842" s="31"/>
      <c r="J842" s="31"/>
      <c r="K842" s="31"/>
      <c r="L842" s="31"/>
    </row>
    <row r="843" ht="15.75" customHeight="1">
      <c r="A843" s="31"/>
      <c r="B843" s="31"/>
      <c r="C843" s="31"/>
      <c r="D843" s="31"/>
      <c r="E843" s="31"/>
      <c r="F843" s="31"/>
      <c r="G843" s="31"/>
      <c r="H843" s="31"/>
      <c r="I843" s="31"/>
      <c r="J843" s="31"/>
      <c r="K843" s="31"/>
      <c r="L843" s="31"/>
    </row>
    <row r="844" ht="15.75" customHeight="1">
      <c r="A844" s="31"/>
      <c r="B844" s="31"/>
      <c r="C844" s="31"/>
      <c r="D844" s="31"/>
      <c r="E844" s="31"/>
      <c r="F844" s="31"/>
      <c r="G844" s="31"/>
      <c r="H844" s="31"/>
      <c r="I844" s="31"/>
      <c r="J844" s="31"/>
      <c r="K844" s="31"/>
      <c r="L844" s="31"/>
    </row>
    <row r="845" ht="15.75" customHeight="1">
      <c r="A845" s="31"/>
      <c r="B845" s="31"/>
      <c r="C845" s="31"/>
      <c r="D845" s="31"/>
      <c r="E845" s="31"/>
      <c r="F845" s="31"/>
      <c r="G845" s="31"/>
      <c r="H845" s="31"/>
      <c r="I845" s="31"/>
      <c r="J845" s="31"/>
      <c r="K845" s="31"/>
      <c r="L845" s="31"/>
    </row>
    <row r="846" ht="15.75" customHeight="1">
      <c r="A846" s="31"/>
      <c r="B846" s="31"/>
      <c r="C846" s="31"/>
      <c r="D846" s="31"/>
      <c r="E846" s="31"/>
      <c r="F846" s="31"/>
      <c r="G846" s="31"/>
      <c r="H846" s="31"/>
      <c r="I846" s="31"/>
      <c r="J846" s="31"/>
      <c r="K846" s="31"/>
      <c r="L846" s="31"/>
    </row>
    <row r="847" ht="15.75" customHeight="1">
      <c r="A847" s="31"/>
      <c r="B847" s="31"/>
      <c r="C847" s="31"/>
      <c r="D847" s="31"/>
      <c r="E847" s="31"/>
      <c r="F847" s="31"/>
      <c r="G847" s="31"/>
      <c r="H847" s="31"/>
      <c r="I847" s="31"/>
      <c r="J847" s="31"/>
      <c r="K847" s="31"/>
      <c r="L847" s="31"/>
    </row>
    <row r="848" ht="15.75" customHeight="1">
      <c r="A848" s="31"/>
      <c r="B848" s="31"/>
      <c r="C848" s="31"/>
      <c r="D848" s="31"/>
      <c r="E848" s="31"/>
      <c r="F848" s="31"/>
      <c r="G848" s="31"/>
      <c r="H848" s="31"/>
      <c r="I848" s="31"/>
      <c r="J848" s="31"/>
      <c r="K848" s="31"/>
      <c r="L848" s="31"/>
    </row>
    <row r="849" ht="15.75" customHeight="1">
      <c r="A849" s="31"/>
      <c r="B849" s="31"/>
      <c r="C849" s="31"/>
      <c r="D849" s="31"/>
      <c r="E849" s="31"/>
      <c r="F849" s="31"/>
      <c r="G849" s="31"/>
      <c r="H849" s="31"/>
      <c r="I849" s="31"/>
      <c r="J849" s="31"/>
      <c r="K849" s="31"/>
      <c r="L849" s="31"/>
    </row>
    <row r="850" ht="15.75" customHeight="1">
      <c r="A850" s="31"/>
      <c r="B850" s="31"/>
      <c r="C850" s="31"/>
      <c r="D850" s="31"/>
      <c r="E850" s="31"/>
      <c r="F850" s="31"/>
      <c r="G850" s="31"/>
      <c r="H850" s="31"/>
      <c r="I850" s="31"/>
      <c r="J850" s="31"/>
      <c r="K850" s="31"/>
      <c r="L850" s="31"/>
    </row>
    <row r="851" ht="15.75" customHeight="1">
      <c r="A851" s="31"/>
      <c r="B851" s="31"/>
      <c r="C851" s="31"/>
      <c r="D851" s="31"/>
      <c r="E851" s="31"/>
      <c r="F851" s="31"/>
      <c r="G851" s="31"/>
      <c r="H851" s="31"/>
      <c r="I851" s="31"/>
      <c r="J851" s="31"/>
      <c r="K851" s="31"/>
      <c r="L851" s="31"/>
    </row>
    <row r="852" ht="15.75" customHeight="1">
      <c r="A852" s="31"/>
      <c r="B852" s="31"/>
      <c r="C852" s="31"/>
      <c r="D852" s="31"/>
      <c r="E852" s="31"/>
      <c r="F852" s="31"/>
      <c r="G852" s="31"/>
      <c r="H852" s="31"/>
      <c r="I852" s="31"/>
      <c r="J852" s="31"/>
      <c r="K852" s="31"/>
      <c r="L852" s="31"/>
    </row>
    <row r="853" ht="15.75" customHeight="1">
      <c r="A853" s="31"/>
      <c r="B853" s="31"/>
      <c r="C853" s="31"/>
      <c r="D853" s="31"/>
      <c r="E853" s="31"/>
      <c r="F853" s="31"/>
      <c r="G853" s="31"/>
      <c r="H853" s="31"/>
      <c r="I853" s="31"/>
      <c r="J853" s="31"/>
      <c r="K853" s="31"/>
      <c r="L853" s="31"/>
    </row>
    <row r="854" ht="15.75" customHeight="1">
      <c r="A854" s="31"/>
      <c r="B854" s="31"/>
      <c r="C854" s="31"/>
      <c r="D854" s="31"/>
      <c r="E854" s="31"/>
      <c r="F854" s="31"/>
      <c r="G854" s="31"/>
      <c r="H854" s="31"/>
      <c r="I854" s="31"/>
      <c r="J854" s="31"/>
      <c r="K854" s="31"/>
      <c r="L854" s="31"/>
    </row>
    <row r="855" ht="15.75" customHeight="1">
      <c r="A855" s="31"/>
      <c r="B855" s="31"/>
      <c r="C855" s="31"/>
      <c r="D855" s="31"/>
      <c r="E855" s="31"/>
      <c r="F855" s="31"/>
      <c r="G855" s="31"/>
      <c r="H855" s="31"/>
      <c r="I855" s="31"/>
      <c r="J855" s="31"/>
      <c r="K855" s="31"/>
      <c r="L855" s="31"/>
    </row>
    <row r="856" ht="15.75" customHeight="1">
      <c r="A856" s="31"/>
      <c r="B856" s="31"/>
      <c r="C856" s="31"/>
      <c r="D856" s="31"/>
      <c r="E856" s="31"/>
      <c r="F856" s="31"/>
      <c r="G856" s="31"/>
      <c r="H856" s="31"/>
      <c r="I856" s="31"/>
      <c r="J856" s="31"/>
      <c r="K856" s="31"/>
      <c r="L856" s="31"/>
    </row>
    <row r="857" ht="15.75" customHeight="1">
      <c r="A857" s="31"/>
      <c r="B857" s="31"/>
      <c r="C857" s="31"/>
      <c r="D857" s="31"/>
      <c r="E857" s="31"/>
      <c r="F857" s="31"/>
      <c r="G857" s="31"/>
      <c r="H857" s="31"/>
      <c r="I857" s="31"/>
      <c r="J857" s="31"/>
      <c r="K857" s="31"/>
      <c r="L857" s="31"/>
    </row>
    <row r="858" ht="15.75" customHeight="1">
      <c r="A858" s="31"/>
      <c r="B858" s="31"/>
      <c r="C858" s="31"/>
      <c r="D858" s="31"/>
      <c r="E858" s="31"/>
      <c r="F858" s="31"/>
      <c r="G858" s="31"/>
      <c r="H858" s="31"/>
      <c r="I858" s="31"/>
      <c r="J858" s="31"/>
      <c r="K858" s="31"/>
      <c r="L858" s="31"/>
    </row>
    <row r="859" ht="15.75" customHeight="1">
      <c r="A859" s="31"/>
      <c r="B859" s="31"/>
      <c r="C859" s="31"/>
      <c r="D859" s="31"/>
      <c r="E859" s="31"/>
      <c r="F859" s="31"/>
      <c r="G859" s="31"/>
      <c r="H859" s="31"/>
      <c r="I859" s="31"/>
      <c r="J859" s="31"/>
      <c r="K859" s="31"/>
      <c r="L859" s="31"/>
    </row>
    <row r="860" ht="15.75" customHeight="1">
      <c r="A860" s="31"/>
      <c r="B860" s="31"/>
      <c r="C860" s="31"/>
      <c r="D860" s="31"/>
      <c r="E860" s="31"/>
      <c r="F860" s="31"/>
      <c r="G860" s="31"/>
      <c r="H860" s="31"/>
      <c r="I860" s="31"/>
      <c r="J860" s="31"/>
      <c r="K860" s="31"/>
      <c r="L860" s="31"/>
    </row>
    <row r="861" ht="15.75" customHeight="1">
      <c r="A861" s="31"/>
      <c r="B861" s="31"/>
      <c r="C861" s="31"/>
      <c r="D861" s="31"/>
      <c r="E861" s="31"/>
      <c r="F861" s="31"/>
      <c r="G861" s="31"/>
      <c r="H861" s="31"/>
      <c r="I861" s="31"/>
      <c r="J861" s="31"/>
      <c r="K861" s="31"/>
      <c r="L861" s="31"/>
    </row>
    <row r="862" ht="15.75" customHeight="1">
      <c r="A862" s="31"/>
      <c r="B862" s="31"/>
      <c r="C862" s="31"/>
      <c r="D862" s="31"/>
      <c r="E862" s="31"/>
      <c r="F862" s="31"/>
      <c r="G862" s="31"/>
      <c r="H862" s="31"/>
      <c r="I862" s="31"/>
      <c r="J862" s="31"/>
      <c r="K862" s="31"/>
      <c r="L862" s="31"/>
    </row>
    <row r="863" ht="15.75" customHeight="1">
      <c r="A863" s="31"/>
      <c r="B863" s="31"/>
      <c r="C863" s="31"/>
      <c r="D863" s="31"/>
      <c r="E863" s="31"/>
      <c r="F863" s="31"/>
      <c r="G863" s="31"/>
      <c r="H863" s="31"/>
      <c r="I863" s="31"/>
      <c r="J863" s="31"/>
      <c r="K863" s="31"/>
      <c r="L863" s="31"/>
    </row>
    <row r="864" ht="15.75" customHeight="1">
      <c r="A864" s="31"/>
      <c r="B864" s="31"/>
      <c r="C864" s="31"/>
      <c r="D864" s="31"/>
      <c r="E864" s="31"/>
      <c r="F864" s="31"/>
      <c r="G864" s="31"/>
      <c r="H864" s="31"/>
      <c r="I864" s="31"/>
      <c r="J864" s="31"/>
      <c r="K864" s="31"/>
      <c r="L864" s="31"/>
    </row>
    <row r="865" ht="15.75" customHeight="1">
      <c r="A865" s="31"/>
      <c r="B865" s="31"/>
      <c r="C865" s="31"/>
      <c r="D865" s="31"/>
      <c r="E865" s="31"/>
      <c r="F865" s="31"/>
      <c r="G865" s="31"/>
      <c r="H865" s="31"/>
      <c r="I865" s="31"/>
      <c r="J865" s="31"/>
      <c r="K865" s="31"/>
      <c r="L865" s="31"/>
    </row>
    <row r="866" ht="15.75" customHeight="1">
      <c r="A866" s="31"/>
      <c r="B866" s="31"/>
      <c r="C866" s="31"/>
      <c r="D866" s="31"/>
      <c r="E866" s="31"/>
      <c r="F866" s="31"/>
      <c r="G866" s="31"/>
      <c r="H866" s="31"/>
      <c r="I866" s="31"/>
      <c r="J866" s="31"/>
      <c r="K866" s="31"/>
      <c r="L866" s="31"/>
    </row>
    <row r="867" ht="15.75" customHeight="1">
      <c r="A867" s="31"/>
      <c r="B867" s="31"/>
      <c r="C867" s="31"/>
      <c r="D867" s="31"/>
      <c r="E867" s="31"/>
      <c r="F867" s="31"/>
      <c r="G867" s="31"/>
      <c r="H867" s="31"/>
      <c r="I867" s="31"/>
      <c r="J867" s="31"/>
      <c r="K867" s="31"/>
      <c r="L867" s="31"/>
    </row>
    <row r="868" ht="15.75" customHeight="1">
      <c r="A868" s="31"/>
      <c r="B868" s="31"/>
      <c r="C868" s="31"/>
      <c r="D868" s="31"/>
      <c r="E868" s="31"/>
      <c r="F868" s="31"/>
      <c r="G868" s="31"/>
      <c r="H868" s="31"/>
      <c r="I868" s="31"/>
      <c r="J868" s="31"/>
      <c r="K868" s="31"/>
      <c r="L868" s="31"/>
    </row>
    <row r="869" ht="15.75" customHeight="1">
      <c r="A869" s="31"/>
      <c r="B869" s="31"/>
      <c r="C869" s="31"/>
      <c r="D869" s="31"/>
      <c r="E869" s="31"/>
      <c r="F869" s="31"/>
      <c r="G869" s="31"/>
      <c r="H869" s="31"/>
      <c r="I869" s="31"/>
      <c r="J869" s="31"/>
      <c r="K869" s="31"/>
      <c r="L869" s="31"/>
    </row>
    <row r="870" ht="15.75" customHeight="1">
      <c r="A870" s="31"/>
      <c r="B870" s="31"/>
      <c r="C870" s="31"/>
      <c r="D870" s="31"/>
      <c r="E870" s="31"/>
      <c r="F870" s="31"/>
      <c r="G870" s="31"/>
      <c r="H870" s="31"/>
      <c r="I870" s="31"/>
      <c r="J870" s="31"/>
      <c r="K870" s="31"/>
      <c r="L870" s="31"/>
    </row>
    <row r="871" ht="15.75" customHeight="1">
      <c r="A871" s="31"/>
      <c r="B871" s="31"/>
      <c r="C871" s="31"/>
      <c r="D871" s="31"/>
      <c r="E871" s="31"/>
      <c r="F871" s="31"/>
      <c r="G871" s="31"/>
      <c r="H871" s="31"/>
      <c r="I871" s="31"/>
      <c r="J871" s="31"/>
      <c r="K871" s="31"/>
      <c r="L871" s="31"/>
    </row>
    <row r="872" ht="15.75" customHeight="1">
      <c r="A872" s="31"/>
      <c r="B872" s="31"/>
      <c r="C872" s="31"/>
      <c r="D872" s="31"/>
      <c r="E872" s="31"/>
      <c r="F872" s="31"/>
      <c r="G872" s="31"/>
      <c r="H872" s="31"/>
      <c r="I872" s="31"/>
      <c r="J872" s="31"/>
      <c r="K872" s="31"/>
      <c r="L872" s="31"/>
    </row>
    <row r="873" ht="15.75" customHeight="1">
      <c r="A873" s="31"/>
      <c r="B873" s="31"/>
      <c r="C873" s="31"/>
      <c r="D873" s="31"/>
      <c r="E873" s="31"/>
      <c r="F873" s="31"/>
      <c r="G873" s="31"/>
      <c r="H873" s="31"/>
      <c r="I873" s="31"/>
      <c r="J873" s="31"/>
      <c r="K873" s="31"/>
      <c r="L873" s="31"/>
    </row>
    <row r="874" ht="15.75" customHeight="1">
      <c r="A874" s="31"/>
      <c r="B874" s="31"/>
      <c r="C874" s="31"/>
      <c r="D874" s="31"/>
      <c r="E874" s="31"/>
      <c r="F874" s="31"/>
      <c r="G874" s="31"/>
      <c r="H874" s="31"/>
      <c r="I874" s="31"/>
      <c r="J874" s="31"/>
      <c r="K874" s="31"/>
      <c r="L874" s="31"/>
    </row>
    <row r="875" ht="15.75" customHeight="1">
      <c r="A875" s="31"/>
      <c r="B875" s="31"/>
      <c r="C875" s="31"/>
      <c r="D875" s="31"/>
      <c r="E875" s="31"/>
      <c r="F875" s="31"/>
      <c r="G875" s="31"/>
      <c r="H875" s="31"/>
      <c r="I875" s="31"/>
      <c r="J875" s="31"/>
      <c r="K875" s="31"/>
      <c r="L875" s="31"/>
    </row>
    <row r="876" ht="15.75" customHeight="1">
      <c r="A876" s="31"/>
      <c r="B876" s="31"/>
      <c r="C876" s="31"/>
      <c r="D876" s="31"/>
      <c r="E876" s="31"/>
      <c r="F876" s="31"/>
      <c r="G876" s="31"/>
      <c r="H876" s="31"/>
      <c r="I876" s="31"/>
      <c r="J876" s="31"/>
      <c r="K876" s="31"/>
      <c r="L876" s="31"/>
    </row>
    <row r="877" ht="15.75" customHeight="1">
      <c r="A877" s="31"/>
      <c r="B877" s="31"/>
      <c r="C877" s="31"/>
      <c r="D877" s="31"/>
      <c r="E877" s="31"/>
      <c r="F877" s="31"/>
      <c r="G877" s="31"/>
      <c r="H877" s="31"/>
      <c r="I877" s="31"/>
      <c r="J877" s="31"/>
      <c r="K877" s="31"/>
      <c r="L877" s="31"/>
    </row>
    <row r="878" ht="15.75" customHeight="1">
      <c r="A878" s="31"/>
      <c r="B878" s="31"/>
      <c r="C878" s="31"/>
      <c r="D878" s="31"/>
      <c r="E878" s="31"/>
      <c r="F878" s="31"/>
      <c r="G878" s="31"/>
      <c r="H878" s="31"/>
      <c r="I878" s="31"/>
      <c r="J878" s="31"/>
      <c r="K878" s="31"/>
      <c r="L878" s="31"/>
    </row>
    <row r="879" ht="15.75" customHeight="1">
      <c r="A879" s="31"/>
      <c r="B879" s="31"/>
      <c r="C879" s="31"/>
      <c r="D879" s="31"/>
      <c r="E879" s="31"/>
      <c r="F879" s="31"/>
      <c r="G879" s="31"/>
      <c r="H879" s="31"/>
      <c r="I879" s="31"/>
      <c r="J879" s="31"/>
      <c r="K879" s="31"/>
      <c r="L879" s="31"/>
    </row>
    <row r="880" ht="15.75" customHeight="1">
      <c r="A880" s="31"/>
      <c r="B880" s="31"/>
      <c r="C880" s="31"/>
      <c r="D880" s="31"/>
      <c r="E880" s="31"/>
      <c r="F880" s="31"/>
      <c r="G880" s="31"/>
      <c r="H880" s="31"/>
      <c r="I880" s="31"/>
      <c r="J880" s="31"/>
      <c r="K880" s="31"/>
      <c r="L880" s="31"/>
    </row>
    <row r="881" ht="15.75" customHeight="1">
      <c r="A881" s="31"/>
      <c r="B881" s="31"/>
      <c r="C881" s="31"/>
      <c r="D881" s="31"/>
      <c r="E881" s="31"/>
      <c r="F881" s="31"/>
      <c r="G881" s="31"/>
      <c r="H881" s="31"/>
      <c r="I881" s="31"/>
      <c r="J881" s="31"/>
      <c r="K881" s="31"/>
      <c r="L881" s="31"/>
    </row>
    <row r="882" ht="15.75" customHeight="1">
      <c r="A882" s="31"/>
      <c r="B882" s="31"/>
      <c r="C882" s="31"/>
      <c r="D882" s="31"/>
      <c r="E882" s="31"/>
      <c r="F882" s="31"/>
      <c r="G882" s="31"/>
      <c r="H882" s="31"/>
      <c r="I882" s="31"/>
      <c r="J882" s="31"/>
      <c r="K882" s="31"/>
      <c r="L882" s="31"/>
    </row>
    <row r="883" ht="15.75" customHeight="1">
      <c r="A883" s="31"/>
      <c r="B883" s="31"/>
      <c r="C883" s="31"/>
      <c r="D883" s="31"/>
      <c r="E883" s="31"/>
      <c r="F883" s="31"/>
      <c r="G883" s="31"/>
      <c r="H883" s="31"/>
      <c r="I883" s="31"/>
      <c r="J883" s="31"/>
      <c r="K883" s="31"/>
      <c r="L883" s="31"/>
    </row>
    <row r="884" ht="15.75" customHeight="1">
      <c r="A884" s="31"/>
      <c r="B884" s="31"/>
      <c r="C884" s="31"/>
      <c r="D884" s="31"/>
      <c r="E884" s="31"/>
      <c r="F884" s="31"/>
      <c r="G884" s="31"/>
      <c r="H884" s="31"/>
      <c r="I884" s="31"/>
      <c r="J884" s="31"/>
      <c r="K884" s="31"/>
      <c r="L884" s="31"/>
    </row>
    <row r="885" ht="15.75" customHeight="1">
      <c r="A885" s="31"/>
      <c r="B885" s="31"/>
      <c r="C885" s="31"/>
      <c r="D885" s="31"/>
      <c r="E885" s="31"/>
      <c r="F885" s="31"/>
      <c r="G885" s="31"/>
      <c r="H885" s="31"/>
      <c r="I885" s="31"/>
      <c r="J885" s="31"/>
      <c r="K885" s="31"/>
      <c r="L885" s="31"/>
    </row>
    <row r="886" ht="15.75" customHeight="1">
      <c r="A886" s="31"/>
      <c r="B886" s="31"/>
      <c r="C886" s="31"/>
      <c r="D886" s="31"/>
      <c r="E886" s="31"/>
      <c r="F886" s="31"/>
      <c r="G886" s="31"/>
      <c r="H886" s="31"/>
      <c r="I886" s="31"/>
      <c r="J886" s="31"/>
      <c r="K886" s="31"/>
      <c r="L886" s="31"/>
    </row>
    <row r="887" ht="15.75" customHeight="1">
      <c r="A887" s="31"/>
      <c r="B887" s="31"/>
      <c r="C887" s="31"/>
      <c r="D887" s="31"/>
      <c r="E887" s="31"/>
      <c r="F887" s="31"/>
      <c r="G887" s="31"/>
      <c r="H887" s="31"/>
      <c r="I887" s="31"/>
      <c r="J887" s="31"/>
      <c r="K887" s="31"/>
      <c r="L887" s="31"/>
    </row>
    <row r="888" ht="15.75" customHeight="1">
      <c r="A888" s="31"/>
      <c r="B888" s="31"/>
      <c r="C888" s="31"/>
      <c r="D888" s="31"/>
      <c r="E888" s="31"/>
      <c r="F888" s="31"/>
      <c r="G888" s="31"/>
      <c r="H888" s="31"/>
      <c r="I888" s="31"/>
      <c r="J888" s="31"/>
      <c r="K888" s="31"/>
      <c r="L888" s="31"/>
    </row>
    <row r="889" ht="15.75" customHeight="1">
      <c r="A889" s="31"/>
      <c r="B889" s="31"/>
      <c r="C889" s="31"/>
      <c r="D889" s="31"/>
      <c r="E889" s="31"/>
      <c r="F889" s="31"/>
      <c r="G889" s="31"/>
      <c r="H889" s="31"/>
      <c r="I889" s="31"/>
      <c r="J889" s="31"/>
      <c r="K889" s="31"/>
      <c r="L889" s="31"/>
    </row>
    <row r="890" ht="15.75" customHeight="1">
      <c r="A890" s="31"/>
      <c r="B890" s="31"/>
      <c r="C890" s="31"/>
      <c r="D890" s="31"/>
      <c r="E890" s="31"/>
      <c r="F890" s="31"/>
      <c r="G890" s="31"/>
      <c r="H890" s="31"/>
      <c r="I890" s="31"/>
      <c r="J890" s="31"/>
      <c r="K890" s="31"/>
      <c r="L890" s="31"/>
    </row>
    <row r="891" ht="15.75" customHeight="1">
      <c r="A891" s="31"/>
      <c r="B891" s="31"/>
      <c r="C891" s="31"/>
      <c r="D891" s="31"/>
      <c r="E891" s="31"/>
      <c r="F891" s="31"/>
      <c r="G891" s="31"/>
      <c r="H891" s="31"/>
      <c r="I891" s="31"/>
      <c r="J891" s="31"/>
      <c r="K891" s="31"/>
      <c r="L891" s="31"/>
    </row>
    <row r="892" ht="15.75" customHeight="1">
      <c r="A892" s="31"/>
      <c r="B892" s="31"/>
      <c r="C892" s="31"/>
      <c r="D892" s="31"/>
      <c r="E892" s="31"/>
      <c r="F892" s="31"/>
      <c r="G892" s="31"/>
      <c r="H892" s="31"/>
      <c r="I892" s="31"/>
      <c r="J892" s="31"/>
      <c r="K892" s="31"/>
      <c r="L892" s="31"/>
    </row>
    <row r="893" ht="15.75" customHeight="1">
      <c r="A893" s="31"/>
      <c r="B893" s="31"/>
      <c r="C893" s="31"/>
      <c r="D893" s="31"/>
      <c r="E893" s="31"/>
      <c r="F893" s="31"/>
      <c r="G893" s="31"/>
      <c r="H893" s="31"/>
      <c r="I893" s="31"/>
      <c r="J893" s="31"/>
      <c r="K893" s="31"/>
      <c r="L893" s="31"/>
    </row>
    <row r="894" ht="15.75" customHeight="1">
      <c r="A894" s="31"/>
      <c r="B894" s="31"/>
      <c r="C894" s="31"/>
      <c r="D894" s="31"/>
      <c r="E894" s="31"/>
      <c r="F894" s="31"/>
      <c r="G894" s="31"/>
      <c r="H894" s="31"/>
      <c r="I894" s="31"/>
      <c r="J894" s="31"/>
      <c r="K894" s="31"/>
      <c r="L894" s="31"/>
    </row>
    <row r="895" ht="15.75" customHeight="1">
      <c r="A895" s="31"/>
      <c r="B895" s="31"/>
      <c r="C895" s="31"/>
      <c r="D895" s="31"/>
      <c r="E895" s="31"/>
      <c r="F895" s="31"/>
      <c r="G895" s="31"/>
      <c r="H895" s="31"/>
      <c r="I895" s="31"/>
      <c r="J895" s="31"/>
      <c r="K895" s="31"/>
      <c r="L895" s="31"/>
    </row>
    <row r="896" ht="15.75" customHeight="1">
      <c r="A896" s="31"/>
      <c r="B896" s="31"/>
      <c r="C896" s="31"/>
      <c r="D896" s="31"/>
      <c r="E896" s="31"/>
      <c r="F896" s="31"/>
      <c r="G896" s="31"/>
      <c r="H896" s="31"/>
      <c r="I896" s="31"/>
      <c r="J896" s="31"/>
      <c r="K896" s="31"/>
      <c r="L896" s="31"/>
    </row>
    <row r="897" ht="15.75" customHeight="1">
      <c r="A897" s="31"/>
      <c r="B897" s="31"/>
      <c r="C897" s="31"/>
      <c r="D897" s="31"/>
      <c r="E897" s="31"/>
      <c r="F897" s="31"/>
      <c r="G897" s="31"/>
      <c r="H897" s="31"/>
      <c r="I897" s="31"/>
      <c r="J897" s="31"/>
      <c r="K897" s="31"/>
      <c r="L897" s="31"/>
    </row>
    <row r="898" ht="15.75" customHeight="1">
      <c r="A898" s="31"/>
      <c r="B898" s="31"/>
      <c r="C898" s="31"/>
      <c r="D898" s="31"/>
      <c r="E898" s="31"/>
      <c r="F898" s="31"/>
      <c r="G898" s="31"/>
      <c r="H898" s="31"/>
      <c r="I898" s="31"/>
      <c r="J898" s="31"/>
      <c r="K898" s="31"/>
      <c r="L898" s="31"/>
    </row>
    <row r="899" ht="15.75" customHeight="1">
      <c r="A899" s="31"/>
      <c r="B899" s="31"/>
      <c r="C899" s="31"/>
      <c r="D899" s="31"/>
      <c r="E899" s="31"/>
      <c r="F899" s="31"/>
      <c r="G899" s="31"/>
      <c r="H899" s="31"/>
      <c r="I899" s="31"/>
      <c r="J899" s="31"/>
      <c r="K899" s="31"/>
      <c r="L899" s="31"/>
    </row>
    <row r="900" ht="15.75" customHeight="1">
      <c r="A900" s="31"/>
      <c r="B900" s="31"/>
      <c r="C900" s="31"/>
      <c r="D900" s="31"/>
      <c r="E900" s="31"/>
      <c r="F900" s="31"/>
      <c r="G900" s="31"/>
      <c r="H900" s="31"/>
      <c r="I900" s="31"/>
      <c r="J900" s="31"/>
      <c r="K900" s="31"/>
      <c r="L900" s="31"/>
    </row>
    <row r="901" ht="15.75" customHeight="1">
      <c r="A901" s="31"/>
      <c r="B901" s="31"/>
      <c r="C901" s="31"/>
      <c r="D901" s="31"/>
      <c r="E901" s="31"/>
      <c r="F901" s="31"/>
      <c r="G901" s="31"/>
      <c r="H901" s="31"/>
      <c r="I901" s="31"/>
      <c r="J901" s="31"/>
      <c r="K901" s="31"/>
      <c r="L901" s="31"/>
    </row>
    <row r="902" ht="15.75" customHeight="1">
      <c r="A902" s="31"/>
      <c r="B902" s="31"/>
      <c r="C902" s="31"/>
      <c r="D902" s="31"/>
      <c r="E902" s="31"/>
      <c r="F902" s="31"/>
      <c r="G902" s="31"/>
      <c r="H902" s="31"/>
      <c r="I902" s="31"/>
      <c r="J902" s="31"/>
      <c r="K902" s="31"/>
      <c r="L902" s="31"/>
    </row>
    <row r="903" ht="15.75" customHeight="1">
      <c r="A903" s="31"/>
      <c r="B903" s="31"/>
      <c r="C903" s="31"/>
      <c r="D903" s="31"/>
      <c r="E903" s="31"/>
      <c r="F903" s="31"/>
      <c r="G903" s="31"/>
      <c r="H903" s="31"/>
      <c r="I903" s="31"/>
      <c r="J903" s="31"/>
      <c r="K903" s="31"/>
      <c r="L903" s="31"/>
    </row>
    <row r="904" ht="15.75" customHeight="1">
      <c r="A904" s="31"/>
      <c r="B904" s="31"/>
      <c r="C904" s="31"/>
      <c r="D904" s="31"/>
      <c r="E904" s="31"/>
      <c r="F904" s="31"/>
      <c r="G904" s="31"/>
      <c r="H904" s="31"/>
      <c r="I904" s="31"/>
      <c r="J904" s="31"/>
      <c r="K904" s="31"/>
      <c r="L904" s="31"/>
    </row>
    <row r="905" ht="15.75" customHeight="1">
      <c r="A905" s="31"/>
      <c r="B905" s="31"/>
      <c r="C905" s="31"/>
      <c r="D905" s="31"/>
      <c r="E905" s="31"/>
      <c r="F905" s="31"/>
      <c r="G905" s="31"/>
      <c r="H905" s="31"/>
      <c r="I905" s="31"/>
      <c r="J905" s="31"/>
      <c r="K905" s="31"/>
      <c r="L905" s="31"/>
    </row>
    <row r="906" ht="15.75" customHeight="1">
      <c r="A906" s="31"/>
      <c r="B906" s="31"/>
      <c r="C906" s="31"/>
      <c r="D906" s="31"/>
      <c r="E906" s="31"/>
      <c r="F906" s="31"/>
      <c r="G906" s="31"/>
      <c r="H906" s="31"/>
      <c r="I906" s="31"/>
      <c r="J906" s="31"/>
      <c r="K906" s="31"/>
      <c r="L906" s="31"/>
    </row>
    <row r="907" ht="15.75" customHeight="1">
      <c r="A907" s="31"/>
      <c r="B907" s="31"/>
      <c r="C907" s="31"/>
      <c r="D907" s="31"/>
      <c r="E907" s="31"/>
      <c r="F907" s="31"/>
      <c r="G907" s="31"/>
      <c r="H907" s="31"/>
      <c r="I907" s="31"/>
      <c r="J907" s="31"/>
      <c r="K907" s="31"/>
      <c r="L907" s="31"/>
    </row>
    <row r="908" ht="15.75" customHeight="1">
      <c r="A908" s="31"/>
      <c r="B908" s="31"/>
      <c r="C908" s="31"/>
      <c r="D908" s="31"/>
      <c r="E908" s="31"/>
      <c r="F908" s="31"/>
      <c r="G908" s="31"/>
      <c r="H908" s="31"/>
      <c r="I908" s="31"/>
      <c r="J908" s="31"/>
      <c r="K908" s="31"/>
      <c r="L908" s="31"/>
    </row>
    <row r="909" ht="15.75" customHeight="1">
      <c r="A909" s="31"/>
      <c r="B909" s="31"/>
      <c r="C909" s="31"/>
      <c r="D909" s="31"/>
      <c r="E909" s="31"/>
      <c r="F909" s="31"/>
      <c r="G909" s="31"/>
      <c r="H909" s="31"/>
      <c r="I909" s="31"/>
      <c r="J909" s="31"/>
      <c r="K909" s="31"/>
      <c r="L909" s="31"/>
    </row>
    <row r="910" ht="15.75" customHeight="1">
      <c r="A910" s="31"/>
      <c r="B910" s="31"/>
      <c r="C910" s="31"/>
      <c r="D910" s="31"/>
      <c r="E910" s="31"/>
      <c r="F910" s="31"/>
      <c r="G910" s="31"/>
      <c r="H910" s="31"/>
      <c r="I910" s="31"/>
      <c r="J910" s="31"/>
      <c r="K910" s="31"/>
      <c r="L910" s="31"/>
    </row>
    <row r="911" ht="15.75" customHeight="1">
      <c r="A911" s="31"/>
      <c r="B911" s="31"/>
      <c r="C911" s="31"/>
      <c r="D911" s="31"/>
      <c r="E911" s="31"/>
      <c r="F911" s="31"/>
      <c r="G911" s="31"/>
      <c r="H911" s="31"/>
      <c r="I911" s="31"/>
      <c r="J911" s="31"/>
      <c r="K911" s="31"/>
      <c r="L911" s="31"/>
    </row>
    <row r="912" ht="15.75" customHeight="1">
      <c r="A912" s="31"/>
      <c r="B912" s="31"/>
      <c r="C912" s="31"/>
      <c r="D912" s="31"/>
      <c r="E912" s="31"/>
      <c r="F912" s="31"/>
      <c r="G912" s="31"/>
      <c r="H912" s="31"/>
      <c r="I912" s="31"/>
      <c r="J912" s="31"/>
      <c r="K912" s="31"/>
      <c r="L912" s="31"/>
    </row>
    <row r="913" ht="15.75" customHeight="1">
      <c r="A913" s="31"/>
      <c r="B913" s="31"/>
      <c r="C913" s="31"/>
      <c r="D913" s="31"/>
      <c r="E913" s="31"/>
      <c r="F913" s="31"/>
      <c r="G913" s="31"/>
      <c r="H913" s="31"/>
      <c r="I913" s="31"/>
      <c r="J913" s="31"/>
      <c r="K913" s="31"/>
      <c r="L913" s="31"/>
    </row>
    <row r="914" ht="15.75" customHeight="1">
      <c r="A914" s="31"/>
      <c r="B914" s="31"/>
      <c r="C914" s="31"/>
      <c r="D914" s="31"/>
      <c r="E914" s="31"/>
      <c r="F914" s="31"/>
      <c r="G914" s="31"/>
      <c r="H914" s="31"/>
      <c r="I914" s="31"/>
      <c r="J914" s="31"/>
      <c r="K914" s="31"/>
      <c r="L914" s="31"/>
    </row>
    <row r="915" ht="15.75" customHeight="1">
      <c r="A915" s="31"/>
      <c r="B915" s="31"/>
      <c r="C915" s="31"/>
      <c r="D915" s="31"/>
      <c r="E915" s="31"/>
      <c r="F915" s="31"/>
      <c r="G915" s="31"/>
      <c r="H915" s="31"/>
      <c r="I915" s="31"/>
      <c r="J915" s="31"/>
      <c r="K915" s="31"/>
      <c r="L915" s="31"/>
    </row>
    <row r="916" ht="15.75" customHeight="1">
      <c r="A916" s="31"/>
      <c r="B916" s="31"/>
      <c r="C916" s="31"/>
      <c r="D916" s="31"/>
      <c r="E916" s="31"/>
      <c r="F916" s="31"/>
      <c r="G916" s="31"/>
      <c r="H916" s="31"/>
      <c r="I916" s="31"/>
      <c r="J916" s="31"/>
      <c r="K916" s="31"/>
      <c r="L916" s="31"/>
    </row>
    <row r="917" ht="15.75" customHeight="1">
      <c r="A917" s="31"/>
      <c r="B917" s="31"/>
      <c r="C917" s="31"/>
      <c r="D917" s="31"/>
      <c r="E917" s="31"/>
      <c r="F917" s="31"/>
      <c r="G917" s="31"/>
      <c r="H917" s="31"/>
      <c r="I917" s="31"/>
      <c r="J917" s="31"/>
      <c r="K917" s="31"/>
      <c r="L917" s="31"/>
    </row>
    <row r="918" ht="15.75" customHeight="1">
      <c r="A918" s="31"/>
      <c r="B918" s="31"/>
      <c r="C918" s="31"/>
      <c r="D918" s="31"/>
      <c r="E918" s="31"/>
      <c r="F918" s="31"/>
      <c r="G918" s="31"/>
      <c r="H918" s="31"/>
      <c r="I918" s="31"/>
      <c r="J918" s="31"/>
      <c r="K918" s="31"/>
      <c r="L918" s="31"/>
    </row>
    <row r="919" ht="15.75" customHeight="1">
      <c r="A919" s="31"/>
      <c r="B919" s="31"/>
      <c r="C919" s="31"/>
      <c r="D919" s="31"/>
      <c r="E919" s="31"/>
      <c r="F919" s="31"/>
      <c r="G919" s="31"/>
      <c r="H919" s="31"/>
      <c r="I919" s="31"/>
      <c r="J919" s="31"/>
      <c r="K919" s="31"/>
      <c r="L919" s="31"/>
    </row>
    <row r="920" ht="15.75" customHeight="1">
      <c r="A920" s="31"/>
      <c r="B920" s="31"/>
      <c r="C920" s="31"/>
      <c r="D920" s="31"/>
      <c r="E920" s="31"/>
      <c r="F920" s="31"/>
      <c r="G920" s="31"/>
      <c r="H920" s="31"/>
      <c r="I920" s="31"/>
      <c r="J920" s="31"/>
      <c r="K920" s="31"/>
      <c r="L920" s="31"/>
    </row>
    <row r="921" ht="15.75" customHeight="1">
      <c r="A921" s="31"/>
      <c r="B921" s="31"/>
      <c r="C921" s="31"/>
      <c r="D921" s="31"/>
      <c r="E921" s="31"/>
      <c r="F921" s="31"/>
      <c r="G921" s="31"/>
      <c r="H921" s="31"/>
      <c r="I921" s="31"/>
      <c r="J921" s="31"/>
      <c r="K921" s="31"/>
      <c r="L921" s="31"/>
    </row>
    <row r="922" ht="15.75" customHeight="1">
      <c r="A922" s="31"/>
      <c r="B922" s="31"/>
      <c r="C922" s="31"/>
      <c r="D922" s="31"/>
      <c r="E922" s="31"/>
      <c r="F922" s="31"/>
      <c r="G922" s="31"/>
      <c r="H922" s="31"/>
      <c r="I922" s="31"/>
      <c r="J922" s="31"/>
      <c r="K922" s="31"/>
      <c r="L922" s="31"/>
    </row>
    <row r="923" ht="15.75" customHeight="1">
      <c r="A923" s="31"/>
      <c r="B923" s="31"/>
      <c r="C923" s="31"/>
      <c r="D923" s="31"/>
      <c r="E923" s="31"/>
      <c r="F923" s="31"/>
      <c r="G923" s="31"/>
      <c r="H923" s="31"/>
      <c r="I923" s="31"/>
      <c r="J923" s="31"/>
      <c r="K923" s="31"/>
      <c r="L923" s="31"/>
    </row>
    <row r="924" ht="15.75" customHeight="1">
      <c r="A924" s="31"/>
      <c r="B924" s="31"/>
      <c r="C924" s="31"/>
      <c r="D924" s="31"/>
      <c r="E924" s="31"/>
      <c r="F924" s="31"/>
      <c r="G924" s="31"/>
      <c r="H924" s="31"/>
      <c r="I924" s="31"/>
      <c r="J924" s="31"/>
      <c r="K924" s="31"/>
      <c r="L924" s="31"/>
    </row>
    <row r="925" ht="15.75" customHeight="1">
      <c r="A925" s="31"/>
      <c r="B925" s="31"/>
      <c r="C925" s="31"/>
      <c r="D925" s="31"/>
      <c r="E925" s="31"/>
      <c r="F925" s="31"/>
      <c r="G925" s="31"/>
      <c r="H925" s="31"/>
      <c r="I925" s="31"/>
      <c r="J925" s="31"/>
      <c r="K925" s="31"/>
      <c r="L925" s="31"/>
    </row>
    <row r="926" ht="15.75" customHeight="1">
      <c r="A926" s="31"/>
      <c r="B926" s="31"/>
      <c r="C926" s="31"/>
      <c r="D926" s="31"/>
      <c r="E926" s="31"/>
      <c r="F926" s="31"/>
      <c r="G926" s="31"/>
      <c r="H926" s="31"/>
      <c r="I926" s="31"/>
      <c r="J926" s="31"/>
      <c r="K926" s="31"/>
      <c r="L926" s="31"/>
    </row>
    <row r="927" ht="15.75" customHeight="1">
      <c r="A927" s="31"/>
      <c r="B927" s="31"/>
      <c r="C927" s="31"/>
      <c r="D927" s="31"/>
      <c r="E927" s="31"/>
      <c r="F927" s="31"/>
      <c r="G927" s="31"/>
      <c r="H927" s="31"/>
      <c r="I927" s="31"/>
      <c r="J927" s="31"/>
      <c r="K927" s="31"/>
      <c r="L927" s="31"/>
    </row>
    <row r="928" ht="15.75" customHeight="1">
      <c r="A928" s="31"/>
      <c r="B928" s="31"/>
      <c r="C928" s="31"/>
      <c r="D928" s="31"/>
      <c r="E928" s="31"/>
      <c r="F928" s="31"/>
      <c r="G928" s="31"/>
      <c r="H928" s="31"/>
      <c r="I928" s="31"/>
      <c r="J928" s="31"/>
      <c r="K928" s="31"/>
      <c r="L928" s="31"/>
    </row>
    <row r="929" ht="15.75" customHeight="1">
      <c r="A929" s="31"/>
      <c r="B929" s="31"/>
      <c r="C929" s="31"/>
      <c r="D929" s="31"/>
      <c r="E929" s="31"/>
      <c r="F929" s="31"/>
      <c r="G929" s="31"/>
      <c r="H929" s="31"/>
      <c r="I929" s="31"/>
      <c r="J929" s="31"/>
      <c r="K929" s="31"/>
      <c r="L929" s="31"/>
    </row>
    <row r="930" ht="15.75" customHeight="1">
      <c r="A930" s="31"/>
      <c r="B930" s="31"/>
      <c r="C930" s="31"/>
      <c r="D930" s="31"/>
      <c r="E930" s="31"/>
      <c r="F930" s="31"/>
      <c r="G930" s="31"/>
      <c r="H930" s="31"/>
      <c r="I930" s="31"/>
      <c r="J930" s="31"/>
      <c r="K930" s="31"/>
      <c r="L930" s="31"/>
    </row>
    <row r="931" ht="15.75" customHeight="1">
      <c r="A931" s="31"/>
      <c r="B931" s="31"/>
      <c r="C931" s="31"/>
      <c r="D931" s="31"/>
      <c r="E931" s="31"/>
      <c r="F931" s="31"/>
      <c r="G931" s="31"/>
      <c r="H931" s="31"/>
      <c r="I931" s="31"/>
      <c r="J931" s="31"/>
      <c r="K931" s="31"/>
      <c r="L931" s="31"/>
    </row>
    <row r="932" ht="15.75" customHeight="1">
      <c r="A932" s="31"/>
      <c r="B932" s="31"/>
      <c r="C932" s="31"/>
      <c r="D932" s="31"/>
      <c r="E932" s="31"/>
      <c r="F932" s="31"/>
      <c r="G932" s="31"/>
      <c r="H932" s="31"/>
      <c r="I932" s="31"/>
      <c r="J932" s="31"/>
      <c r="K932" s="31"/>
      <c r="L932" s="31"/>
    </row>
    <row r="933" ht="15.75" customHeight="1">
      <c r="A933" s="31"/>
      <c r="B933" s="31"/>
      <c r="C933" s="31"/>
      <c r="D933" s="31"/>
      <c r="E933" s="31"/>
      <c r="F933" s="31"/>
      <c r="G933" s="31"/>
      <c r="H933" s="31"/>
      <c r="I933" s="31"/>
      <c r="J933" s="31"/>
      <c r="K933" s="31"/>
      <c r="L933" s="31"/>
    </row>
    <row r="934" ht="15.75" customHeight="1">
      <c r="A934" s="31"/>
      <c r="B934" s="31"/>
      <c r="C934" s="31"/>
      <c r="D934" s="31"/>
      <c r="E934" s="31"/>
      <c r="F934" s="31"/>
      <c r="G934" s="31"/>
      <c r="H934" s="31"/>
      <c r="I934" s="31"/>
      <c r="J934" s="31"/>
      <c r="K934" s="31"/>
      <c r="L934" s="31"/>
    </row>
    <row r="935" ht="15.75" customHeight="1">
      <c r="A935" s="31"/>
      <c r="B935" s="31"/>
      <c r="C935" s="31"/>
      <c r="D935" s="31"/>
      <c r="E935" s="31"/>
      <c r="F935" s="31"/>
      <c r="G935" s="31"/>
      <c r="H935" s="31"/>
      <c r="I935" s="31"/>
      <c r="J935" s="31"/>
      <c r="K935" s="31"/>
      <c r="L935" s="31"/>
    </row>
    <row r="936" ht="15.75" customHeight="1">
      <c r="A936" s="31"/>
      <c r="B936" s="31"/>
      <c r="C936" s="31"/>
      <c r="D936" s="31"/>
      <c r="E936" s="31"/>
      <c r="F936" s="31"/>
      <c r="G936" s="31"/>
      <c r="H936" s="31"/>
      <c r="I936" s="31"/>
      <c r="J936" s="31"/>
      <c r="K936" s="31"/>
      <c r="L936" s="31"/>
    </row>
    <row r="937" ht="15.75" customHeight="1">
      <c r="A937" s="31"/>
      <c r="B937" s="31"/>
      <c r="C937" s="31"/>
      <c r="D937" s="31"/>
      <c r="E937" s="31"/>
      <c r="F937" s="31"/>
      <c r="G937" s="31"/>
      <c r="H937" s="31"/>
      <c r="I937" s="31"/>
      <c r="J937" s="31"/>
      <c r="K937" s="31"/>
      <c r="L937" s="31"/>
    </row>
    <row r="938" ht="15.75" customHeight="1">
      <c r="A938" s="31"/>
      <c r="B938" s="31"/>
      <c r="C938" s="31"/>
      <c r="D938" s="31"/>
      <c r="E938" s="31"/>
      <c r="F938" s="31"/>
      <c r="G938" s="31"/>
      <c r="H938" s="31"/>
      <c r="I938" s="31"/>
      <c r="J938" s="31"/>
      <c r="K938" s="31"/>
      <c r="L938" s="31"/>
    </row>
    <row r="939" ht="15.75" customHeight="1">
      <c r="A939" s="31"/>
      <c r="B939" s="31"/>
      <c r="C939" s="31"/>
      <c r="D939" s="31"/>
      <c r="E939" s="31"/>
      <c r="F939" s="31"/>
      <c r="G939" s="31"/>
      <c r="H939" s="31"/>
      <c r="I939" s="31"/>
      <c r="J939" s="31"/>
      <c r="K939" s="31"/>
      <c r="L939" s="31"/>
    </row>
    <row r="940" ht="15.75" customHeight="1">
      <c r="A940" s="31"/>
      <c r="B940" s="31"/>
      <c r="C940" s="31"/>
      <c r="D940" s="31"/>
      <c r="E940" s="31"/>
      <c r="F940" s="31"/>
      <c r="G940" s="31"/>
      <c r="H940" s="31"/>
      <c r="I940" s="31"/>
      <c r="J940" s="31"/>
      <c r="K940" s="31"/>
      <c r="L940" s="31"/>
    </row>
    <row r="941" ht="15.75" customHeight="1">
      <c r="A941" s="31"/>
      <c r="B941" s="31"/>
      <c r="C941" s="31"/>
      <c r="D941" s="31"/>
      <c r="E941" s="31"/>
      <c r="F941" s="31"/>
      <c r="G941" s="31"/>
      <c r="H941" s="31"/>
      <c r="I941" s="31"/>
      <c r="J941" s="31"/>
      <c r="K941" s="31"/>
      <c r="L941" s="31"/>
    </row>
    <row r="942" ht="15.75" customHeight="1">
      <c r="A942" s="31"/>
      <c r="B942" s="31"/>
      <c r="C942" s="31"/>
      <c r="D942" s="31"/>
      <c r="E942" s="31"/>
      <c r="F942" s="31"/>
      <c r="G942" s="31"/>
      <c r="H942" s="31"/>
      <c r="I942" s="31"/>
      <c r="J942" s="31"/>
      <c r="K942" s="31"/>
      <c r="L942" s="31"/>
    </row>
    <row r="943" ht="15.75" customHeight="1">
      <c r="A943" s="31"/>
      <c r="B943" s="31"/>
      <c r="C943" s="31"/>
      <c r="D943" s="31"/>
      <c r="E943" s="31"/>
      <c r="F943" s="31"/>
      <c r="G943" s="31"/>
      <c r="H943" s="31"/>
      <c r="I943" s="31"/>
      <c r="J943" s="31"/>
      <c r="K943" s="31"/>
      <c r="L943" s="31"/>
    </row>
    <row r="944" ht="15.75" customHeight="1">
      <c r="A944" s="31"/>
      <c r="B944" s="31"/>
      <c r="C944" s="31"/>
      <c r="D944" s="31"/>
      <c r="E944" s="31"/>
      <c r="F944" s="31"/>
      <c r="G944" s="31"/>
      <c r="H944" s="31"/>
      <c r="I944" s="31"/>
      <c r="J944" s="31"/>
      <c r="K944" s="31"/>
      <c r="L944" s="31"/>
    </row>
    <row r="945" ht="15.75" customHeight="1">
      <c r="A945" s="31"/>
      <c r="B945" s="31"/>
      <c r="C945" s="31"/>
      <c r="D945" s="31"/>
      <c r="E945" s="31"/>
      <c r="F945" s="31"/>
      <c r="G945" s="31"/>
      <c r="H945" s="31"/>
      <c r="I945" s="31"/>
      <c r="J945" s="31"/>
      <c r="K945" s="31"/>
      <c r="L945" s="31"/>
    </row>
    <row r="946" ht="15.75" customHeight="1">
      <c r="A946" s="31"/>
      <c r="B946" s="31"/>
      <c r="C946" s="31"/>
      <c r="D946" s="31"/>
      <c r="E946" s="31"/>
      <c r="F946" s="31"/>
      <c r="G946" s="31"/>
      <c r="H946" s="31"/>
      <c r="I946" s="31"/>
      <c r="J946" s="31"/>
      <c r="K946" s="31"/>
      <c r="L946" s="31"/>
    </row>
    <row r="947" ht="15.75" customHeight="1">
      <c r="A947" s="31"/>
      <c r="B947" s="31"/>
      <c r="C947" s="31"/>
      <c r="D947" s="31"/>
      <c r="E947" s="31"/>
      <c r="F947" s="31"/>
      <c r="G947" s="31"/>
      <c r="H947" s="31"/>
      <c r="I947" s="31"/>
      <c r="J947" s="31"/>
      <c r="K947" s="31"/>
      <c r="L947" s="31"/>
    </row>
    <row r="948" ht="15.75" customHeight="1">
      <c r="A948" s="31"/>
      <c r="B948" s="31"/>
      <c r="C948" s="31"/>
      <c r="D948" s="31"/>
      <c r="E948" s="31"/>
      <c r="F948" s="31"/>
      <c r="G948" s="31"/>
      <c r="H948" s="31"/>
      <c r="I948" s="31"/>
      <c r="J948" s="31"/>
      <c r="K948" s="31"/>
      <c r="L948" s="31"/>
    </row>
    <row r="949" ht="15.75" customHeight="1">
      <c r="A949" s="31"/>
      <c r="B949" s="31"/>
      <c r="C949" s="31"/>
      <c r="D949" s="31"/>
      <c r="E949" s="31"/>
      <c r="F949" s="31"/>
      <c r="G949" s="31"/>
      <c r="H949" s="31"/>
      <c r="I949" s="31"/>
      <c r="J949" s="31"/>
      <c r="K949" s="31"/>
      <c r="L949" s="31"/>
    </row>
    <row r="950" ht="15.75" customHeight="1">
      <c r="A950" s="31"/>
      <c r="B950" s="31"/>
      <c r="C950" s="31"/>
      <c r="D950" s="31"/>
      <c r="E950" s="31"/>
      <c r="F950" s="31"/>
      <c r="G950" s="31"/>
      <c r="H950" s="31"/>
      <c r="I950" s="31"/>
      <c r="J950" s="31"/>
      <c r="K950" s="31"/>
      <c r="L950" s="31"/>
    </row>
    <row r="951" ht="15.75" customHeight="1">
      <c r="A951" s="31"/>
      <c r="B951" s="31"/>
      <c r="C951" s="31"/>
      <c r="D951" s="31"/>
      <c r="E951" s="31"/>
      <c r="F951" s="31"/>
      <c r="G951" s="31"/>
      <c r="H951" s="31"/>
      <c r="I951" s="31"/>
      <c r="J951" s="31"/>
      <c r="K951" s="31"/>
      <c r="L951" s="31"/>
    </row>
    <row r="952" ht="15.75" customHeight="1">
      <c r="A952" s="31"/>
      <c r="B952" s="31"/>
      <c r="C952" s="31"/>
      <c r="D952" s="31"/>
      <c r="E952" s="31"/>
      <c r="F952" s="31"/>
      <c r="G952" s="31"/>
      <c r="H952" s="31"/>
      <c r="I952" s="31"/>
      <c r="J952" s="31"/>
      <c r="K952" s="31"/>
      <c r="L952" s="31"/>
    </row>
    <row r="953" ht="15.75" customHeight="1">
      <c r="A953" s="31"/>
      <c r="B953" s="31"/>
      <c r="C953" s="31"/>
      <c r="D953" s="31"/>
      <c r="E953" s="31"/>
      <c r="F953" s="31"/>
      <c r="G953" s="31"/>
      <c r="H953" s="31"/>
      <c r="I953" s="31"/>
      <c r="J953" s="31"/>
      <c r="K953" s="31"/>
      <c r="L953" s="31"/>
    </row>
    <row r="954" ht="15.75" customHeight="1">
      <c r="A954" s="31"/>
      <c r="B954" s="31"/>
      <c r="C954" s="31"/>
      <c r="D954" s="31"/>
      <c r="E954" s="31"/>
      <c r="F954" s="31"/>
      <c r="G954" s="31"/>
      <c r="H954" s="31"/>
      <c r="I954" s="31"/>
      <c r="J954" s="31"/>
      <c r="K954" s="31"/>
      <c r="L954" s="31"/>
    </row>
    <row r="955" ht="15.75" customHeight="1">
      <c r="A955" s="31"/>
      <c r="B955" s="31"/>
      <c r="C955" s="31"/>
      <c r="D955" s="31"/>
      <c r="E955" s="31"/>
      <c r="F955" s="31"/>
      <c r="G955" s="31"/>
      <c r="H955" s="31"/>
      <c r="I955" s="31"/>
      <c r="J955" s="31"/>
      <c r="K955" s="31"/>
      <c r="L955" s="31"/>
    </row>
    <row r="956" ht="15.75" customHeight="1">
      <c r="A956" s="31"/>
      <c r="B956" s="31"/>
      <c r="C956" s="31"/>
      <c r="D956" s="31"/>
      <c r="E956" s="31"/>
      <c r="F956" s="31"/>
      <c r="G956" s="31"/>
      <c r="H956" s="31"/>
      <c r="I956" s="31"/>
      <c r="J956" s="31"/>
      <c r="K956" s="31"/>
      <c r="L956" s="31"/>
    </row>
    <row r="957" ht="15.75" customHeight="1">
      <c r="A957" s="31"/>
      <c r="B957" s="31"/>
      <c r="C957" s="31"/>
      <c r="D957" s="31"/>
      <c r="E957" s="31"/>
      <c r="F957" s="31"/>
      <c r="G957" s="31"/>
      <c r="H957" s="31"/>
      <c r="I957" s="31"/>
      <c r="J957" s="31"/>
      <c r="K957" s="31"/>
      <c r="L957" s="31"/>
    </row>
    <row r="958" ht="15.75" customHeight="1">
      <c r="A958" s="31"/>
      <c r="B958" s="31"/>
      <c r="C958" s="31"/>
      <c r="D958" s="31"/>
      <c r="E958" s="31"/>
      <c r="F958" s="31"/>
      <c r="G958" s="31"/>
      <c r="H958" s="31"/>
      <c r="I958" s="31"/>
      <c r="J958" s="31"/>
      <c r="K958" s="31"/>
      <c r="L958" s="31"/>
    </row>
    <row r="959" ht="15.75" customHeight="1">
      <c r="A959" s="31"/>
      <c r="B959" s="31"/>
      <c r="C959" s="31"/>
      <c r="D959" s="31"/>
      <c r="E959" s="31"/>
      <c r="F959" s="31"/>
      <c r="G959" s="31"/>
      <c r="H959" s="31"/>
      <c r="I959" s="31"/>
      <c r="J959" s="31"/>
      <c r="K959" s="31"/>
      <c r="L959" s="31"/>
    </row>
    <row r="960" ht="15.75" customHeight="1">
      <c r="A960" s="31"/>
      <c r="B960" s="31"/>
      <c r="C960" s="31"/>
      <c r="D960" s="31"/>
      <c r="E960" s="31"/>
      <c r="F960" s="31"/>
      <c r="G960" s="31"/>
      <c r="H960" s="31"/>
      <c r="I960" s="31"/>
      <c r="J960" s="31"/>
      <c r="K960" s="31"/>
      <c r="L960" s="31"/>
    </row>
    <row r="961" ht="15.75" customHeight="1">
      <c r="A961" s="31"/>
      <c r="B961" s="31"/>
      <c r="C961" s="31"/>
      <c r="D961" s="31"/>
      <c r="E961" s="31"/>
      <c r="F961" s="31"/>
      <c r="G961" s="31"/>
      <c r="H961" s="31"/>
      <c r="I961" s="31"/>
      <c r="J961" s="31"/>
      <c r="K961" s="31"/>
      <c r="L961" s="31"/>
    </row>
    <row r="962" ht="15.75" customHeight="1">
      <c r="A962" s="31"/>
      <c r="B962" s="31"/>
      <c r="C962" s="31"/>
      <c r="D962" s="31"/>
      <c r="E962" s="31"/>
      <c r="F962" s="31"/>
      <c r="G962" s="31"/>
      <c r="H962" s="31"/>
      <c r="I962" s="31"/>
      <c r="J962" s="31"/>
      <c r="K962" s="31"/>
      <c r="L962" s="31"/>
    </row>
    <row r="963" ht="15.75" customHeight="1">
      <c r="A963" s="31"/>
      <c r="B963" s="31"/>
      <c r="C963" s="31"/>
      <c r="D963" s="31"/>
      <c r="E963" s="31"/>
      <c r="F963" s="31"/>
      <c r="G963" s="31"/>
      <c r="H963" s="31"/>
      <c r="I963" s="31"/>
      <c r="J963" s="31"/>
      <c r="K963" s="31"/>
      <c r="L963" s="31"/>
    </row>
    <row r="964" ht="15.75" customHeight="1">
      <c r="A964" s="31"/>
      <c r="B964" s="31"/>
      <c r="C964" s="31"/>
      <c r="D964" s="31"/>
      <c r="E964" s="31"/>
      <c r="F964" s="31"/>
      <c r="G964" s="31"/>
      <c r="H964" s="31"/>
      <c r="I964" s="31"/>
      <c r="J964" s="31"/>
      <c r="K964" s="31"/>
      <c r="L964" s="31"/>
    </row>
    <row r="965" ht="15.75" customHeight="1">
      <c r="A965" s="31"/>
      <c r="B965" s="31"/>
      <c r="C965" s="31"/>
      <c r="D965" s="31"/>
      <c r="E965" s="31"/>
      <c r="F965" s="31"/>
      <c r="G965" s="31"/>
      <c r="H965" s="31"/>
      <c r="I965" s="31"/>
      <c r="J965" s="31"/>
      <c r="K965" s="31"/>
      <c r="L965" s="31"/>
    </row>
    <row r="966" ht="15.75" customHeight="1">
      <c r="A966" s="31"/>
      <c r="B966" s="31"/>
      <c r="C966" s="31"/>
      <c r="D966" s="31"/>
      <c r="E966" s="31"/>
      <c r="F966" s="31"/>
      <c r="G966" s="31"/>
      <c r="H966" s="31"/>
      <c r="I966" s="31"/>
      <c r="J966" s="31"/>
      <c r="K966" s="31"/>
      <c r="L966" s="31"/>
    </row>
    <row r="967" ht="15.75" customHeight="1">
      <c r="A967" s="31"/>
      <c r="B967" s="31"/>
      <c r="C967" s="31"/>
      <c r="D967" s="31"/>
      <c r="E967" s="31"/>
      <c r="F967" s="31"/>
      <c r="G967" s="31"/>
      <c r="H967" s="31"/>
      <c r="I967" s="31"/>
      <c r="J967" s="31"/>
      <c r="K967" s="31"/>
      <c r="L967" s="31"/>
    </row>
    <row r="968" ht="15.75" customHeight="1">
      <c r="A968" s="31"/>
      <c r="B968" s="31"/>
      <c r="C968" s="31"/>
      <c r="D968" s="31"/>
      <c r="E968" s="31"/>
      <c r="F968" s="31"/>
      <c r="G968" s="31"/>
      <c r="H968" s="31"/>
      <c r="I968" s="31"/>
      <c r="J968" s="31"/>
      <c r="K968" s="31"/>
      <c r="L968" s="31"/>
    </row>
    <row r="969" ht="15.75" customHeight="1">
      <c r="A969" s="31"/>
      <c r="B969" s="31"/>
      <c r="C969" s="31"/>
      <c r="D969" s="31"/>
      <c r="E969" s="31"/>
      <c r="F969" s="31"/>
      <c r="G969" s="31"/>
      <c r="H969" s="31"/>
      <c r="I969" s="31"/>
      <c r="J969" s="31"/>
      <c r="K969" s="31"/>
      <c r="L969" s="31"/>
    </row>
    <row r="970" ht="15.75" customHeight="1">
      <c r="A970" s="31"/>
      <c r="B970" s="31"/>
      <c r="C970" s="31"/>
      <c r="D970" s="31"/>
      <c r="E970" s="31"/>
      <c r="F970" s="31"/>
      <c r="G970" s="31"/>
      <c r="H970" s="31"/>
      <c r="I970" s="31"/>
      <c r="J970" s="31"/>
      <c r="K970" s="31"/>
      <c r="L970" s="31"/>
    </row>
    <row r="971" ht="15.75" customHeight="1">
      <c r="A971" s="31"/>
      <c r="B971" s="31"/>
      <c r="C971" s="31"/>
      <c r="D971" s="31"/>
      <c r="E971" s="31"/>
      <c r="F971" s="31"/>
      <c r="G971" s="31"/>
      <c r="H971" s="31"/>
      <c r="I971" s="31"/>
      <c r="J971" s="31"/>
      <c r="K971" s="31"/>
      <c r="L971" s="31"/>
    </row>
    <row r="972" ht="15.75" customHeight="1">
      <c r="A972" s="31"/>
      <c r="B972" s="31"/>
      <c r="C972" s="31"/>
      <c r="D972" s="31"/>
      <c r="E972" s="31"/>
      <c r="F972" s="31"/>
      <c r="G972" s="31"/>
      <c r="H972" s="31"/>
      <c r="I972" s="31"/>
      <c r="J972" s="31"/>
      <c r="K972" s="31"/>
      <c r="L972" s="31"/>
    </row>
    <row r="973" ht="15.75" customHeight="1">
      <c r="A973" s="31"/>
      <c r="B973" s="31"/>
      <c r="C973" s="31"/>
      <c r="D973" s="31"/>
      <c r="E973" s="31"/>
      <c r="F973" s="31"/>
      <c r="G973" s="31"/>
      <c r="H973" s="31"/>
      <c r="I973" s="31"/>
      <c r="J973" s="31"/>
      <c r="K973" s="31"/>
      <c r="L973" s="31"/>
    </row>
    <row r="974" ht="15.75" customHeight="1">
      <c r="A974" s="31"/>
      <c r="B974" s="31"/>
      <c r="C974" s="31"/>
      <c r="D974" s="31"/>
      <c r="E974" s="31"/>
      <c r="F974" s="31"/>
      <c r="G974" s="31"/>
      <c r="H974" s="31"/>
      <c r="I974" s="31"/>
      <c r="J974" s="31"/>
      <c r="K974" s="31"/>
      <c r="L974" s="31"/>
    </row>
    <row r="975" ht="15.75" customHeight="1">
      <c r="A975" s="31"/>
      <c r="B975" s="31"/>
      <c r="C975" s="31"/>
      <c r="D975" s="31"/>
      <c r="E975" s="31"/>
      <c r="F975" s="31"/>
      <c r="G975" s="31"/>
      <c r="H975" s="31"/>
      <c r="I975" s="31"/>
      <c r="J975" s="31"/>
      <c r="K975" s="31"/>
      <c r="L975" s="31"/>
    </row>
    <row r="976" ht="15.75" customHeight="1">
      <c r="A976" s="31"/>
      <c r="B976" s="31"/>
      <c r="C976" s="31"/>
      <c r="D976" s="31"/>
      <c r="E976" s="31"/>
      <c r="F976" s="31"/>
      <c r="G976" s="31"/>
      <c r="H976" s="31"/>
      <c r="I976" s="31"/>
      <c r="J976" s="31"/>
      <c r="K976" s="31"/>
      <c r="L976" s="31"/>
    </row>
    <row r="977" ht="15.75" customHeight="1">
      <c r="A977" s="31"/>
      <c r="B977" s="31"/>
      <c r="C977" s="31"/>
      <c r="D977" s="31"/>
      <c r="E977" s="31"/>
      <c r="F977" s="31"/>
      <c r="G977" s="31"/>
      <c r="H977" s="31"/>
      <c r="I977" s="31"/>
      <c r="J977" s="31"/>
      <c r="K977" s="31"/>
      <c r="L977" s="31"/>
    </row>
    <row r="978" ht="15.75" customHeight="1">
      <c r="A978" s="31"/>
      <c r="B978" s="31"/>
      <c r="C978" s="31"/>
      <c r="D978" s="31"/>
      <c r="E978" s="31"/>
      <c r="F978" s="31"/>
      <c r="G978" s="31"/>
      <c r="H978" s="31"/>
      <c r="I978" s="31"/>
      <c r="J978" s="31"/>
      <c r="K978" s="31"/>
      <c r="L978" s="31"/>
    </row>
    <row r="979" ht="15.75" customHeight="1">
      <c r="A979" s="31"/>
      <c r="B979" s="31"/>
      <c r="C979" s="31"/>
      <c r="D979" s="31"/>
      <c r="E979" s="31"/>
      <c r="F979" s="31"/>
      <c r="G979" s="31"/>
      <c r="H979" s="31"/>
      <c r="I979" s="31"/>
      <c r="J979" s="31"/>
      <c r="K979" s="31"/>
      <c r="L979" s="31"/>
    </row>
    <row r="980" ht="15.75" customHeight="1">
      <c r="A980" s="31"/>
      <c r="B980" s="31"/>
      <c r="C980" s="31"/>
      <c r="D980" s="31"/>
      <c r="E980" s="31"/>
      <c r="F980" s="31"/>
      <c r="G980" s="31"/>
      <c r="H980" s="31"/>
      <c r="I980" s="31"/>
      <c r="J980" s="31"/>
      <c r="K980" s="31"/>
      <c r="L980" s="31"/>
    </row>
    <row r="981" ht="15.75" customHeight="1">
      <c r="A981" s="31"/>
      <c r="B981" s="31"/>
      <c r="C981" s="31"/>
      <c r="D981" s="31"/>
      <c r="E981" s="31"/>
      <c r="F981" s="31"/>
      <c r="G981" s="31"/>
      <c r="H981" s="31"/>
      <c r="I981" s="31"/>
      <c r="J981" s="31"/>
      <c r="K981" s="31"/>
      <c r="L981" s="31"/>
    </row>
    <row r="982" ht="15.75" customHeight="1">
      <c r="A982" s="31"/>
      <c r="B982" s="31"/>
      <c r="C982" s="31"/>
      <c r="D982" s="31"/>
      <c r="E982" s="31"/>
      <c r="F982" s="31"/>
      <c r="G982" s="31"/>
      <c r="H982" s="31"/>
      <c r="I982" s="31"/>
      <c r="J982" s="31"/>
      <c r="K982" s="31"/>
      <c r="L982" s="31"/>
    </row>
    <row r="983" ht="15.75" customHeight="1">
      <c r="A983" s="31"/>
      <c r="B983" s="31"/>
      <c r="C983" s="31"/>
      <c r="D983" s="31"/>
      <c r="E983" s="31"/>
      <c r="F983" s="31"/>
      <c r="G983" s="31"/>
      <c r="H983" s="31"/>
      <c r="I983" s="31"/>
      <c r="J983" s="31"/>
      <c r="K983" s="31"/>
      <c r="L983" s="31"/>
    </row>
    <row r="984" ht="15.75" customHeight="1">
      <c r="A984" s="31"/>
      <c r="B984" s="31"/>
      <c r="C984" s="31"/>
      <c r="D984" s="31"/>
      <c r="E984" s="31"/>
      <c r="F984" s="31"/>
      <c r="G984" s="31"/>
      <c r="H984" s="31"/>
      <c r="I984" s="31"/>
      <c r="J984" s="31"/>
      <c r="K984" s="31"/>
      <c r="L984" s="31"/>
    </row>
    <row r="985" ht="15.75" customHeight="1">
      <c r="A985" s="31"/>
      <c r="B985" s="31"/>
      <c r="C985" s="31"/>
      <c r="D985" s="31"/>
      <c r="E985" s="31"/>
      <c r="F985" s="31"/>
      <c r="G985" s="31"/>
      <c r="H985" s="31"/>
      <c r="I985" s="31"/>
      <c r="J985" s="31"/>
      <c r="K985" s="31"/>
      <c r="L985" s="31"/>
    </row>
    <row r="986" ht="15.75" customHeight="1">
      <c r="A986" s="31"/>
      <c r="B986" s="31"/>
      <c r="C986" s="31"/>
      <c r="D986" s="31"/>
      <c r="E986" s="31"/>
      <c r="F986" s="31"/>
      <c r="G986" s="31"/>
      <c r="H986" s="31"/>
      <c r="I986" s="31"/>
      <c r="J986" s="31"/>
      <c r="K986" s="31"/>
      <c r="L986" s="31"/>
    </row>
    <row r="987" ht="15.75" customHeight="1">
      <c r="A987" s="31"/>
      <c r="B987" s="31"/>
      <c r="C987" s="31"/>
      <c r="D987" s="31"/>
      <c r="E987" s="31"/>
      <c r="F987" s="31"/>
      <c r="G987" s="31"/>
      <c r="H987" s="31"/>
      <c r="I987" s="31"/>
      <c r="J987" s="31"/>
      <c r="K987" s="31"/>
      <c r="L987" s="31"/>
    </row>
    <row r="988" ht="15.75" customHeight="1">
      <c r="A988" s="31"/>
      <c r="B988" s="31"/>
      <c r="C988" s="31"/>
      <c r="D988" s="31"/>
      <c r="E988" s="31"/>
      <c r="F988" s="31"/>
      <c r="G988" s="31"/>
      <c r="H988" s="31"/>
      <c r="I988" s="31"/>
      <c r="J988" s="31"/>
      <c r="K988" s="31"/>
      <c r="L988" s="31"/>
    </row>
    <row r="989" ht="15.75" customHeight="1">
      <c r="A989" s="31"/>
      <c r="B989" s="31"/>
      <c r="C989" s="31"/>
      <c r="D989" s="31"/>
      <c r="E989" s="31"/>
      <c r="F989" s="31"/>
      <c r="G989" s="31"/>
      <c r="H989" s="31"/>
      <c r="I989" s="31"/>
      <c r="J989" s="31"/>
      <c r="K989" s="31"/>
      <c r="L989" s="31"/>
    </row>
    <row r="990" ht="15.75" customHeight="1">
      <c r="A990" s="31"/>
      <c r="B990" s="31"/>
      <c r="C990" s="31"/>
      <c r="D990" s="31"/>
      <c r="E990" s="31"/>
      <c r="F990" s="31"/>
      <c r="G990" s="31"/>
      <c r="H990" s="31"/>
      <c r="I990" s="31"/>
      <c r="J990" s="31"/>
      <c r="K990" s="31"/>
      <c r="L990" s="31"/>
    </row>
    <row r="991" ht="15.75" customHeight="1">
      <c r="A991" s="31"/>
      <c r="B991" s="31"/>
      <c r="C991" s="31"/>
      <c r="D991" s="31"/>
      <c r="E991" s="31"/>
      <c r="F991" s="31"/>
      <c r="G991" s="31"/>
      <c r="H991" s="31"/>
      <c r="I991" s="31"/>
      <c r="J991" s="31"/>
      <c r="K991" s="31"/>
      <c r="L991" s="31"/>
    </row>
    <row r="992" ht="15.75" customHeight="1">
      <c r="A992" s="31"/>
      <c r="B992" s="31"/>
      <c r="C992" s="31"/>
      <c r="D992" s="31"/>
      <c r="E992" s="31"/>
      <c r="F992" s="31"/>
      <c r="G992" s="31"/>
      <c r="H992" s="31"/>
      <c r="I992" s="31"/>
      <c r="J992" s="31"/>
      <c r="K992" s="31"/>
      <c r="L992" s="31"/>
    </row>
    <row r="993" ht="15.75" customHeight="1">
      <c r="A993" s="31"/>
      <c r="B993" s="31"/>
      <c r="C993" s="31"/>
      <c r="D993" s="31"/>
      <c r="E993" s="31"/>
      <c r="F993" s="31"/>
      <c r="G993" s="31"/>
      <c r="H993" s="31"/>
      <c r="I993" s="31"/>
      <c r="J993" s="31"/>
      <c r="K993" s="31"/>
      <c r="L993" s="31"/>
    </row>
    <row r="994" ht="15.75" customHeight="1">
      <c r="A994" s="31"/>
      <c r="B994" s="31"/>
      <c r="C994" s="31"/>
      <c r="D994" s="31"/>
      <c r="E994" s="31"/>
      <c r="F994" s="31"/>
      <c r="G994" s="31"/>
      <c r="H994" s="31"/>
      <c r="I994" s="31"/>
      <c r="J994" s="31"/>
      <c r="K994" s="31"/>
      <c r="L994" s="31"/>
    </row>
    <row r="995" ht="15.75" customHeight="1">
      <c r="A995" s="31"/>
      <c r="B995" s="31"/>
      <c r="C995" s="31"/>
      <c r="D995" s="31"/>
      <c r="E995" s="31"/>
      <c r="F995" s="31"/>
      <c r="G995" s="31"/>
      <c r="H995" s="31"/>
      <c r="I995" s="31"/>
      <c r="J995" s="31"/>
      <c r="K995" s="31"/>
      <c r="L995" s="31"/>
    </row>
    <row r="996" ht="15.75" customHeight="1">
      <c r="A996" s="31"/>
      <c r="B996" s="31"/>
      <c r="C996" s="31"/>
      <c r="D996" s="31"/>
      <c r="E996" s="31"/>
      <c r="F996" s="31"/>
      <c r="G996" s="31"/>
      <c r="H996" s="31"/>
      <c r="I996" s="31"/>
      <c r="J996" s="31"/>
      <c r="K996" s="31"/>
      <c r="L996" s="31"/>
    </row>
    <row r="997" ht="15.75" customHeight="1">
      <c r="A997" s="31"/>
      <c r="B997" s="31"/>
      <c r="C997" s="31"/>
      <c r="D997" s="31"/>
      <c r="E997" s="31"/>
      <c r="F997" s="31"/>
      <c r="G997" s="31"/>
      <c r="H997" s="31"/>
      <c r="I997" s="31"/>
      <c r="J997" s="31"/>
      <c r="K997" s="31"/>
      <c r="L997" s="31"/>
    </row>
    <row r="998" ht="15.75" customHeight="1"/>
    <row r="999" ht="15.75" customHeight="1"/>
    <row r="1000" ht="15.75" customHeight="1"/>
  </sheetData>
  <autoFilter ref="$A$1:$L$58"/>
  <mergeCells count="1">
    <mergeCell ref="F90:G90"/>
  </mergeCells>
  <dataValidations>
    <dataValidation type="list" allowBlank="1" sqref="H2:H58">
      <formula1>"Yes,No,n.a."</formula1>
    </dataValidation>
    <dataValidation type="list" allowBlank="1" sqref="C2:C58">
      <formula1>"AUD,TRN,SUM"</formula1>
    </dataValidation>
  </dataValidations>
  <printOptions/>
  <pageMargins bottom="1.0" footer="0.0" header="0.0" left="0.75" right="0.75" top="1.0"/>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38.0"/>
    <col customWidth="1" min="3" max="3" width="18.0"/>
    <col customWidth="1" min="4" max="4" width="34.0"/>
    <col customWidth="1" min="5" max="5" width="12.0"/>
    <col customWidth="1" min="6" max="7" width="10.0"/>
    <col customWidth="1" min="8" max="10" width="14.0"/>
    <col customWidth="1" min="11" max="11" width="18.0"/>
    <col customWidth="1" min="12" max="12" width="13.0"/>
    <col customWidth="1" min="13" max="14" width="20.0"/>
    <col customWidth="1" min="15" max="15" width="40.0"/>
    <col customWidth="1" min="16" max="26" width="14.0"/>
  </cols>
  <sheetData>
    <row r="1" ht="31.5" customHeight="1">
      <c r="A1" s="2" t="s">
        <v>493</v>
      </c>
      <c r="B1" s="2" t="s">
        <v>494</v>
      </c>
      <c r="C1" s="2" t="s">
        <v>18</v>
      </c>
      <c r="D1" s="2" t="s">
        <v>1146</v>
      </c>
      <c r="E1" s="2" t="s">
        <v>1148</v>
      </c>
      <c r="F1" s="2" t="s">
        <v>1149</v>
      </c>
      <c r="G1" s="2" t="s">
        <v>1151</v>
      </c>
      <c r="H1" s="2" t="s">
        <v>1152</v>
      </c>
      <c r="I1" s="2" t="s">
        <v>1153</v>
      </c>
      <c r="J1" s="2" t="s">
        <v>1155</v>
      </c>
      <c r="K1" s="2" t="s">
        <v>1156</v>
      </c>
      <c r="L1" s="2" t="s">
        <v>1158</v>
      </c>
      <c r="M1" s="2" t="s">
        <v>1159</v>
      </c>
      <c r="N1" s="2" t="s">
        <v>1161</v>
      </c>
      <c r="O1" s="2" t="s">
        <v>1162</v>
      </c>
    </row>
    <row r="2" ht="30.0" customHeight="1">
      <c r="A2" s="9">
        <v>1.0</v>
      </c>
      <c r="B2" s="9" t="s">
        <v>813</v>
      </c>
      <c r="C2" s="9" t="s">
        <v>447</v>
      </c>
      <c r="D2" s="9" t="s">
        <v>1166</v>
      </c>
      <c r="E2" s="9">
        <v>250.0</v>
      </c>
      <c r="F2" s="9" t="s">
        <v>1167</v>
      </c>
      <c r="G2" s="9" t="s">
        <v>1167</v>
      </c>
      <c r="H2" s="9">
        <v>2026.0</v>
      </c>
      <c r="I2" s="9" t="s">
        <v>1169</v>
      </c>
      <c r="J2" s="9" t="s">
        <v>1169</v>
      </c>
      <c r="K2" s="9" t="s">
        <v>1170</v>
      </c>
      <c r="L2" s="9" t="s">
        <v>1172</v>
      </c>
      <c r="M2" s="9" t="s">
        <v>1173</v>
      </c>
      <c r="N2" s="9" t="s">
        <v>1174</v>
      </c>
      <c r="O2" s="9"/>
    </row>
    <row r="3" ht="30.0" customHeight="1">
      <c r="A3" s="9">
        <v>2.0</v>
      </c>
      <c r="B3" s="9" t="s">
        <v>813</v>
      </c>
      <c r="C3" s="9" t="s">
        <v>447</v>
      </c>
      <c r="D3" s="9" t="s">
        <v>1177</v>
      </c>
      <c r="E3" s="9">
        <v>1250.0</v>
      </c>
      <c r="F3" s="9" t="s">
        <v>1167</v>
      </c>
      <c r="G3" s="9" t="s">
        <v>1167</v>
      </c>
      <c r="H3" s="9">
        <v>2026.0</v>
      </c>
      <c r="I3" s="9" t="s">
        <v>1179</v>
      </c>
      <c r="J3" s="9" t="s">
        <v>1179</v>
      </c>
      <c r="K3" s="9" t="s">
        <v>1180</v>
      </c>
      <c r="L3" s="9" t="s">
        <v>1181</v>
      </c>
      <c r="M3" s="9" t="s">
        <v>1183</v>
      </c>
      <c r="N3" s="9" t="s">
        <v>1174</v>
      </c>
      <c r="O3" s="9" t="s">
        <v>1184</v>
      </c>
    </row>
    <row r="4" ht="30.0" customHeight="1">
      <c r="A4" s="9">
        <v>3.0</v>
      </c>
      <c r="B4" s="9" t="s">
        <v>813</v>
      </c>
      <c r="C4" s="9" t="s">
        <v>498</v>
      </c>
      <c r="D4" s="9" t="s">
        <v>1186</v>
      </c>
      <c r="E4" s="9">
        <v>8000.0</v>
      </c>
      <c r="F4" s="9" t="s">
        <v>1188</v>
      </c>
      <c r="G4" s="9" t="s">
        <v>75</v>
      </c>
      <c r="H4" s="9">
        <v>2026.0</v>
      </c>
      <c r="I4" s="9" t="s">
        <v>1190</v>
      </c>
      <c r="J4" s="9" t="s">
        <v>1190</v>
      </c>
      <c r="K4" s="9" t="s">
        <v>75</v>
      </c>
      <c r="L4" s="9" t="s">
        <v>1181</v>
      </c>
      <c r="M4" s="9" t="s">
        <v>1192</v>
      </c>
      <c r="N4" s="9" t="s">
        <v>1174</v>
      </c>
      <c r="O4" s="9" t="s">
        <v>1193</v>
      </c>
    </row>
    <row r="5" ht="19.5" customHeight="1">
      <c r="A5" s="12"/>
      <c r="B5" s="12"/>
      <c r="C5" s="12"/>
      <c r="D5" s="12"/>
      <c r="E5" s="12"/>
      <c r="F5" s="12"/>
      <c r="G5" s="12"/>
      <c r="H5" s="12"/>
      <c r="I5" s="12"/>
      <c r="J5" s="12"/>
      <c r="K5" s="12"/>
      <c r="L5" s="12"/>
      <c r="M5" s="12"/>
      <c r="N5" s="12"/>
      <c r="O5" s="12"/>
    </row>
    <row r="6" ht="19.5" customHeight="1">
      <c r="A6" s="12"/>
      <c r="B6" s="12"/>
      <c r="C6" s="12"/>
      <c r="D6" s="12"/>
      <c r="E6" s="12"/>
      <c r="F6" s="12"/>
      <c r="G6" s="12"/>
      <c r="H6" s="12"/>
      <c r="I6" s="12"/>
      <c r="J6" s="12"/>
      <c r="K6" s="12"/>
      <c r="L6" s="12"/>
      <c r="M6" s="12"/>
      <c r="N6" s="12"/>
      <c r="O6" s="12"/>
    </row>
    <row r="7" ht="19.5" customHeight="1">
      <c r="A7" s="12"/>
      <c r="B7" s="12"/>
      <c r="C7" s="12"/>
      <c r="D7" s="12"/>
      <c r="E7" s="12"/>
      <c r="F7" s="12"/>
      <c r="G7" s="12"/>
      <c r="H7" s="12"/>
      <c r="I7" s="12"/>
      <c r="J7" s="12"/>
      <c r="K7" s="12"/>
      <c r="L7" s="12"/>
      <c r="M7" s="12"/>
      <c r="N7" s="12"/>
      <c r="O7" s="12"/>
    </row>
    <row r="8" ht="19.5" customHeight="1">
      <c r="A8" s="12"/>
      <c r="B8" s="12"/>
      <c r="C8" s="12"/>
      <c r="D8" s="12"/>
      <c r="E8" s="12"/>
      <c r="F8" s="12"/>
      <c r="G8" s="12"/>
      <c r="H8" s="12"/>
      <c r="I8" s="12"/>
      <c r="J8" s="12"/>
      <c r="K8" s="12"/>
      <c r="L8" s="12"/>
      <c r="M8" s="12"/>
      <c r="N8" s="12"/>
      <c r="O8" s="12"/>
    </row>
    <row r="9" ht="19.5" customHeight="1">
      <c r="A9" s="12"/>
      <c r="B9" s="12"/>
      <c r="C9" s="12"/>
      <c r="D9" s="12"/>
      <c r="E9" s="12"/>
      <c r="F9" s="12"/>
      <c r="G9" s="12"/>
      <c r="H9" s="12"/>
      <c r="I9" s="12"/>
      <c r="J9" s="12"/>
      <c r="K9" s="12"/>
      <c r="L9" s="12"/>
      <c r="M9" s="12"/>
      <c r="N9" s="12"/>
      <c r="O9" s="12"/>
    </row>
    <row r="10" ht="19.5" customHeight="1">
      <c r="A10" s="12"/>
      <c r="B10" s="12"/>
      <c r="C10" s="12"/>
      <c r="D10" s="12"/>
      <c r="E10" s="12"/>
      <c r="F10" s="12"/>
      <c r="G10" s="12"/>
      <c r="H10" s="12"/>
      <c r="I10" s="12"/>
      <c r="J10" s="12"/>
      <c r="K10" s="12"/>
      <c r="L10" s="12"/>
      <c r="M10" s="12"/>
      <c r="N10" s="12"/>
      <c r="O10" s="12"/>
    </row>
    <row r="11" ht="19.5" customHeight="1">
      <c r="A11" s="12"/>
      <c r="B11" s="12"/>
      <c r="C11" s="12"/>
      <c r="D11" s="12"/>
      <c r="E11" s="12"/>
      <c r="F11" s="12"/>
      <c r="G11" s="12"/>
      <c r="H11" s="12"/>
      <c r="I11" s="12"/>
      <c r="J11" s="12"/>
      <c r="K11" s="12"/>
      <c r="L11" s="12"/>
      <c r="M11" s="12"/>
      <c r="N11" s="12"/>
      <c r="O11" s="12"/>
    </row>
    <row r="12" ht="19.5" customHeight="1">
      <c r="A12" s="12"/>
      <c r="B12" s="12"/>
      <c r="C12" s="12"/>
      <c r="D12" s="12"/>
      <c r="E12" s="12"/>
      <c r="F12" s="12"/>
      <c r="G12" s="12"/>
      <c r="H12" s="12"/>
      <c r="I12" s="12"/>
      <c r="J12" s="12"/>
      <c r="K12" s="12"/>
      <c r="L12" s="12"/>
      <c r="M12" s="12"/>
      <c r="N12" s="12"/>
      <c r="O12" s="12"/>
    </row>
    <row r="13" ht="19.5" customHeight="1">
      <c r="A13" s="12"/>
      <c r="B13" s="12"/>
      <c r="C13" s="12"/>
      <c r="D13" s="12"/>
      <c r="E13" s="12"/>
      <c r="F13" s="12"/>
      <c r="G13" s="12"/>
      <c r="H13" s="12"/>
      <c r="I13" s="12"/>
      <c r="J13" s="12"/>
      <c r="K13" s="12"/>
      <c r="L13" s="12"/>
      <c r="M13" s="12"/>
      <c r="N13" s="12"/>
      <c r="O13" s="12"/>
    </row>
    <row r="14" ht="19.5" customHeight="1">
      <c r="A14" s="12"/>
      <c r="B14" s="12"/>
      <c r="C14" s="12"/>
      <c r="D14" s="12"/>
      <c r="E14" s="12"/>
      <c r="F14" s="12"/>
      <c r="G14" s="12"/>
      <c r="H14" s="12"/>
      <c r="I14" s="12"/>
      <c r="J14" s="12"/>
      <c r="K14" s="12"/>
      <c r="L14" s="12"/>
      <c r="M14" s="12"/>
      <c r="N14" s="12"/>
      <c r="O14" s="12"/>
    </row>
    <row r="15" ht="19.5" customHeight="1">
      <c r="A15" s="12"/>
      <c r="B15" s="12"/>
      <c r="C15" s="12"/>
      <c r="D15" s="12"/>
      <c r="E15" s="12"/>
      <c r="F15" s="12"/>
      <c r="G15" s="12"/>
      <c r="H15" s="12"/>
      <c r="I15" s="12"/>
      <c r="J15" s="12"/>
      <c r="K15" s="12"/>
      <c r="L15" s="12"/>
      <c r="M15" s="12"/>
      <c r="N15" s="12"/>
      <c r="O15" s="12"/>
    </row>
    <row r="16" ht="19.5" customHeight="1">
      <c r="A16" s="12"/>
      <c r="B16" s="12"/>
      <c r="C16" s="12"/>
      <c r="D16" s="12"/>
      <c r="E16" s="12"/>
      <c r="F16" s="12"/>
      <c r="G16" s="12"/>
      <c r="H16" s="12"/>
      <c r="I16" s="12"/>
      <c r="J16" s="12"/>
      <c r="K16" s="12"/>
      <c r="L16" s="12"/>
      <c r="M16" s="12"/>
      <c r="N16" s="12"/>
      <c r="O16" s="12"/>
    </row>
    <row r="17" ht="19.5" customHeight="1">
      <c r="A17" s="12"/>
      <c r="B17" s="12"/>
      <c r="C17" s="12"/>
      <c r="D17" s="12"/>
      <c r="E17" s="12"/>
      <c r="F17" s="12"/>
      <c r="G17" s="12"/>
      <c r="H17" s="12"/>
      <c r="I17" s="12"/>
      <c r="J17" s="12"/>
      <c r="K17" s="12"/>
      <c r="L17" s="12"/>
      <c r="M17" s="12"/>
      <c r="N17" s="12"/>
      <c r="O17" s="12"/>
    </row>
    <row r="18" ht="19.5" customHeight="1">
      <c r="A18" s="12"/>
      <c r="B18" s="12"/>
      <c r="C18" s="12"/>
      <c r="D18" s="12"/>
      <c r="E18" s="12"/>
      <c r="F18" s="12"/>
      <c r="G18" s="12"/>
      <c r="H18" s="12"/>
      <c r="I18" s="12"/>
      <c r="J18" s="12"/>
      <c r="K18" s="12"/>
      <c r="L18" s="12"/>
      <c r="M18" s="12"/>
      <c r="N18" s="12"/>
      <c r="O18" s="12"/>
    </row>
    <row r="19" ht="19.5" customHeight="1">
      <c r="A19" s="12"/>
      <c r="B19" s="12"/>
      <c r="C19" s="12"/>
      <c r="D19" s="12"/>
      <c r="E19" s="12"/>
      <c r="F19" s="12"/>
      <c r="G19" s="12"/>
      <c r="H19" s="12"/>
      <c r="I19" s="12"/>
      <c r="J19" s="12"/>
      <c r="K19" s="12"/>
      <c r="L19" s="12"/>
      <c r="M19" s="12"/>
      <c r="N19" s="12"/>
      <c r="O19" s="12"/>
    </row>
    <row r="20" ht="19.5" customHeight="1">
      <c r="A20" s="12"/>
      <c r="B20" s="12"/>
      <c r="C20" s="12"/>
      <c r="D20" s="12"/>
      <c r="E20" s="12"/>
      <c r="F20" s="12"/>
      <c r="G20" s="12"/>
      <c r="H20" s="12"/>
      <c r="I20" s="12"/>
      <c r="J20" s="12"/>
      <c r="K20" s="12"/>
      <c r="L20" s="12"/>
      <c r="M20" s="12"/>
      <c r="N20" s="12"/>
      <c r="O20" s="12"/>
    </row>
    <row r="21" ht="19.5" customHeight="1">
      <c r="A21" s="12"/>
      <c r="B21" s="12"/>
      <c r="C21" s="12"/>
      <c r="D21" s="12"/>
      <c r="E21" s="12"/>
      <c r="F21" s="12"/>
      <c r="G21" s="12"/>
      <c r="H21" s="12"/>
      <c r="I21" s="12"/>
      <c r="J21" s="12"/>
      <c r="K21" s="12"/>
      <c r="L21" s="12"/>
      <c r="M21" s="12"/>
      <c r="N21" s="12"/>
      <c r="O21" s="12"/>
    </row>
    <row r="22" ht="19.5" customHeight="1">
      <c r="A22" s="12"/>
      <c r="B22" s="12"/>
      <c r="C22" s="12"/>
      <c r="D22" s="12"/>
      <c r="E22" s="12"/>
      <c r="F22" s="12"/>
      <c r="G22" s="12"/>
      <c r="H22" s="12"/>
      <c r="I22" s="12"/>
      <c r="J22" s="12"/>
      <c r="K22" s="12"/>
      <c r="L22" s="12"/>
      <c r="M22" s="12"/>
      <c r="N22" s="12"/>
      <c r="O22" s="12"/>
    </row>
    <row r="23" ht="19.5" customHeight="1">
      <c r="A23" s="12"/>
      <c r="B23" s="12"/>
      <c r="C23" s="12"/>
      <c r="D23" s="12"/>
      <c r="E23" s="12"/>
      <c r="F23" s="12"/>
      <c r="G23" s="12"/>
      <c r="H23" s="12"/>
      <c r="I23" s="12"/>
      <c r="J23" s="12"/>
      <c r="K23" s="12"/>
      <c r="L23" s="12"/>
      <c r="M23" s="12"/>
      <c r="N23" s="12"/>
      <c r="O23" s="12"/>
    </row>
    <row r="24" ht="19.5" customHeight="1">
      <c r="A24" s="12"/>
      <c r="B24" s="12"/>
      <c r="C24" s="12"/>
      <c r="D24" s="12"/>
      <c r="E24" s="12"/>
      <c r="F24" s="12"/>
      <c r="G24" s="12"/>
      <c r="H24" s="12"/>
      <c r="I24" s="12"/>
      <c r="J24" s="12"/>
      <c r="K24" s="12"/>
      <c r="L24" s="12"/>
      <c r="M24" s="12"/>
      <c r="N24" s="12"/>
      <c r="O24" s="12"/>
    </row>
    <row r="25" ht="19.5" customHeight="1">
      <c r="A25" s="12"/>
      <c r="B25" s="12"/>
      <c r="C25" s="12"/>
      <c r="D25" s="12"/>
      <c r="E25" s="12"/>
      <c r="F25" s="12"/>
      <c r="G25" s="12"/>
      <c r="H25" s="12"/>
      <c r="I25" s="12"/>
      <c r="J25" s="12"/>
      <c r="K25" s="12"/>
      <c r="L25" s="12"/>
      <c r="M25" s="12"/>
      <c r="N25" s="12"/>
      <c r="O25" s="12"/>
    </row>
    <row r="26" ht="19.5" customHeight="1">
      <c r="A26" s="12"/>
      <c r="B26" s="12"/>
      <c r="C26" s="12"/>
      <c r="D26" s="12"/>
      <c r="E26" s="12"/>
      <c r="F26" s="12"/>
      <c r="G26" s="12"/>
      <c r="H26" s="12"/>
      <c r="I26" s="12"/>
      <c r="J26" s="12"/>
      <c r="K26" s="12"/>
      <c r="L26" s="12"/>
      <c r="M26" s="12"/>
      <c r="N26" s="12"/>
      <c r="O26" s="12"/>
    </row>
    <row r="27" ht="19.5" customHeight="1">
      <c r="A27" s="12"/>
      <c r="B27" s="12"/>
      <c r="C27" s="12"/>
      <c r="D27" s="12"/>
      <c r="E27" s="12"/>
      <c r="F27" s="12"/>
      <c r="G27" s="12"/>
      <c r="H27" s="12"/>
      <c r="I27" s="12"/>
      <c r="J27" s="12"/>
      <c r="K27" s="12"/>
      <c r="L27" s="12"/>
      <c r="M27" s="12"/>
      <c r="N27" s="12"/>
      <c r="O27" s="12"/>
    </row>
    <row r="28" ht="19.5" customHeight="1">
      <c r="A28" s="12"/>
      <c r="B28" s="12"/>
      <c r="C28" s="12"/>
      <c r="D28" s="12"/>
      <c r="E28" s="12"/>
      <c r="F28" s="12"/>
      <c r="G28" s="12"/>
      <c r="H28" s="12"/>
      <c r="I28" s="12"/>
      <c r="J28" s="12"/>
      <c r="K28" s="12"/>
      <c r="L28" s="12"/>
      <c r="M28" s="12"/>
      <c r="N28" s="12"/>
      <c r="O28" s="12"/>
    </row>
    <row r="29" ht="19.5" customHeight="1">
      <c r="A29" s="12"/>
      <c r="B29" s="12"/>
      <c r="C29" s="12"/>
      <c r="D29" s="12"/>
      <c r="E29" s="12"/>
      <c r="F29" s="12"/>
      <c r="G29" s="12"/>
      <c r="H29" s="12"/>
      <c r="I29" s="12"/>
      <c r="J29" s="12"/>
      <c r="K29" s="12"/>
      <c r="L29" s="12"/>
      <c r="M29" s="12"/>
      <c r="N29" s="12"/>
      <c r="O29" s="12"/>
    </row>
    <row r="30" ht="19.5" customHeight="1">
      <c r="A30" s="12"/>
      <c r="B30" s="12"/>
      <c r="C30" s="12"/>
      <c r="D30" s="12"/>
      <c r="E30" s="12"/>
      <c r="F30" s="12"/>
      <c r="G30" s="12"/>
      <c r="H30" s="12"/>
      <c r="I30" s="12"/>
      <c r="J30" s="12"/>
      <c r="K30" s="12"/>
      <c r="L30" s="12"/>
      <c r="M30" s="12"/>
      <c r="N30" s="12"/>
      <c r="O30" s="12"/>
    </row>
    <row r="31" ht="19.5" customHeight="1">
      <c r="A31" s="12"/>
      <c r="B31" s="12"/>
      <c r="C31" s="12"/>
      <c r="D31" s="12"/>
      <c r="E31" s="12"/>
      <c r="F31" s="12"/>
      <c r="G31" s="12"/>
      <c r="H31" s="12"/>
      <c r="I31" s="12"/>
      <c r="J31" s="12"/>
      <c r="K31" s="12"/>
      <c r="L31" s="12"/>
      <c r="M31" s="12"/>
      <c r="N31" s="12"/>
      <c r="O31" s="12"/>
    </row>
    <row r="32" ht="19.5" customHeight="1">
      <c r="A32" s="12"/>
      <c r="B32" s="12"/>
      <c r="C32" s="12"/>
      <c r="D32" s="12"/>
      <c r="E32" s="12"/>
      <c r="F32" s="12"/>
      <c r="G32" s="12"/>
      <c r="H32" s="12"/>
      <c r="I32" s="12"/>
      <c r="J32" s="12"/>
      <c r="K32" s="12"/>
      <c r="L32" s="12"/>
      <c r="M32" s="12"/>
      <c r="N32" s="12"/>
      <c r="O32" s="12"/>
    </row>
    <row r="33" ht="19.5" customHeight="1">
      <c r="A33" s="12"/>
      <c r="B33" s="12"/>
      <c r="C33" s="12"/>
      <c r="D33" s="12"/>
      <c r="E33" s="12"/>
      <c r="F33" s="12"/>
      <c r="G33" s="12"/>
      <c r="H33" s="12"/>
      <c r="I33" s="12"/>
      <c r="J33" s="12"/>
      <c r="K33" s="12"/>
      <c r="L33" s="12"/>
      <c r="M33" s="12"/>
      <c r="N33" s="12"/>
      <c r="O33" s="12"/>
    </row>
    <row r="34" ht="19.5" customHeight="1">
      <c r="A34" s="12"/>
      <c r="B34" s="12"/>
      <c r="C34" s="12"/>
      <c r="D34" s="12"/>
      <c r="E34" s="12"/>
      <c r="F34" s="12"/>
      <c r="G34" s="12"/>
      <c r="H34" s="12"/>
      <c r="I34" s="12"/>
      <c r="J34" s="12"/>
      <c r="K34" s="12"/>
      <c r="L34" s="12"/>
      <c r="M34" s="12"/>
      <c r="N34" s="12"/>
      <c r="O34" s="12"/>
    </row>
    <row r="35" ht="19.5" customHeight="1">
      <c r="A35" s="12"/>
      <c r="B35" s="12"/>
      <c r="C35" s="12"/>
      <c r="D35" s="12"/>
      <c r="E35" s="12"/>
      <c r="F35" s="12"/>
      <c r="G35" s="12"/>
      <c r="H35" s="12"/>
      <c r="I35" s="12"/>
      <c r="J35" s="12"/>
      <c r="K35" s="12"/>
      <c r="L35" s="12"/>
      <c r="M35" s="12"/>
      <c r="N35" s="12"/>
      <c r="O35" s="12"/>
    </row>
    <row r="36" ht="19.5" customHeight="1">
      <c r="A36" s="12"/>
      <c r="B36" s="12"/>
      <c r="C36" s="12"/>
      <c r="D36" s="12"/>
      <c r="E36" s="12"/>
      <c r="F36" s="12"/>
      <c r="G36" s="12"/>
      <c r="H36" s="12"/>
      <c r="I36" s="12"/>
      <c r="J36" s="12"/>
      <c r="K36" s="12"/>
      <c r="L36" s="12"/>
      <c r="M36" s="12"/>
      <c r="N36" s="12"/>
      <c r="O36" s="12"/>
    </row>
    <row r="37" ht="19.5" customHeight="1">
      <c r="A37" s="12"/>
      <c r="B37" s="12"/>
      <c r="C37" s="12"/>
      <c r="D37" s="12"/>
      <c r="E37" s="12"/>
      <c r="F37" s="12"/>
      <c r="G37" s="12"/>
      <c r="H37" s="12"/>
      <c r="I37" s="12"/>
      <c r="J37" s="12"/>
      <c r="K37" s="12"/>
      <c r="L37" s="12"/>
      <c r="M37" s="12"/>
      <c r="N37" s="12"/>
      <c r="O37" s="12"/>
    </row>
    <row r="38" ht="19.5" customHeight="1">
      <c r="A38" s="12"/>
      <c r="B38" s="12"/>
      <c r="C38" s="12"/>
      <c r="D38" s="12"/>
      <c r="E38" s="12"/>
      <c r="F38" s="12"/>
      <c r="G38" s="12"/>
      <c r="H38" s="12"/>
      <c r="I38" s="12"/>
      <c r="J38" s="12"/>
      <c r="K38" s="12"/>
      <c r="L38" s="12"/>
      <c r="M38" s="12"/>
      <c r="N38" s="12"/>
      <c r="O38" s="12"/>
    </row>
    <row r="39" ht="19.5" customHeight="1">
      <c r="A39" s="12"/>
      <c r="B39" s="12"/>
      <c r="C39" s="12"/>
      <c r="D39" s="12"/>
      <c r="E39" s="12"/>
      <c r="F39" s="12"/>
      <c r="G39" s="12"/>
      <c r="H39" s="12"/>
      <c r="I39" s="12"/>
      <c r="J39" s="12"/>
      <c r="K39" s="12"/>
      <c r="L39" s="12"/>
      <c r="M39" s="12"/>
      <c r="N39" s="12"/>
      <c r="O39" s="12"/>
    </row>
    <row r="40" ht="19.5" customHeight="1">
      <c r="A40" s="12"/>
      <c r="B40" s="12"/>
      <c r="C40" s="12"/>
      <c r="D40" s="12"/>
      <c r="E40" s="12"/>
      <c r="F40" s="12"/>
      <c r="G40" s="12"/>
      <c r="H40" s="12"/>
      <c r="I40" s="12"/>
      <c r="J40" s="12"/>
      <c r="K40" s="12"/>
      <c r="L40" s="12"/>
      <c r="M40" s="12"/>
      <c r="N40" s="12"/>
      <c r="O40" s="12"/>
    </row>
    <row r="41" ht="19.5" customHeight="1">
      <c r="A41" s="12"/>
      <c r="B41" s="12"/>
      <c r="C41" s="12"/>
      <c r="D41" s="12"/>
      <c r="E41" s="12"/>
      <c r="F41" s="12"/>
      <c r="G41" s="12"/>
      <c r="H41" s="12"/>
      <c r="I41" s="12"/>
      <c r="J41" s="12"/>
      <c r="K41" s="12"/>
      <c r="L41" s="12"/>
      <c r="M41" s="12"/>
      <c r="N41" s="12"/>
      <c r="O41" s="12"/>
    </row>
    <row r="42" ht="19.5" customHeight="1">
      <c r="A42" s="12"/>
      <c r="B42" s="12"/>
      <c r="C42" s="12"/>
      <c r="D42" s="12"/>
      <c r="E42" s="12"/>
      <c r="F42" s="12"/>
      <c r="G42" s="12"/>
      <c r="H42" s="12"/>
      <c r="I42" s="12"/>
      <c r="J42" s="12"/>
      <c r="K42" s="12"/>
      <c r="L42" s="12"/>
      <c r="M42" s="12"/>
      <c r="N42" s="12"/>
      <c r="O42" s="12"/>
    </row>
    <row r="43" ht="19.5" customHeight="1">
      <c r="A43" s="12"/>
      <c r="B43" s="12"/>
      <c r="C43" s="12"/>
      <c r="D43" s="12"/>
      <c r="E43" s="12"/>
      <c r="F43" s="12"/>
      <c r="G43" s="12"/>
      <c r="H43" s="12"/>
      <c r="I43" s="12"/>
      <c r="J43" s="12"/>
      <c r="K43" s="12"/>
      <c r="L43" s="12"/>
      <c r="M43" s="12"/>
      <c r="N43" s="12"/>
      <c r="O43" s="12"/>
    </row>
    <row r="44" ht="19.5" customHeight="1">
      <c r="A44" s="12"/>
      <c r="B44" s="12"/>
      <c r="C44" s="12"/>
      <c r="D44" s="12"/>
      <c r="E44" s="12"/>
      <c r="F44" s="12"/>
      <c r="G44" s="12"/>
      <c r="H44" s="12"/>
      <c r="I44" s="12"/>
      <c r="J44" s="12"/>
      <c r="K44" s="12"/>
      <c r="L44" s="12"/>
      <c r="M44" s="12"/>
      <c r="N44" s="12"/>
      <c r="O44" s="12"/>
    </row>
    <row r="45" ht="19.5" customHeight="1">
      <c r="A45" s="12"/>
      <c r="B45" s="12"/>
      <c r="C45" s="12"/>
      <c r="D45" s="12"/>
      <c r="E45" s="12"/>
      <c r="F45" s="12"/>
      <c r="G45" s="12"/>
      <c r="H45" s="12"/>
      <c r="I45" s="12"/>
      <c r="J45" s="12"/>
      <c r="K45" s="12"/>
      <c r="L45" s="12"/>
      <c r="M45" s="12"/>
      <c r="N45" s="12"/>
      <c r="O45" s="12"/>
    </row>
    <row r="46" ht="19.5" customHeight="1">
      <c r="A46" s="12"/>
      <c r="B46" s="12"/>
      <c r="C46" s="12"/>
      <c r="D46" s="12"/>
      <c r="E46" s="12"/>
      <c r="F46" s="12"/>
      <c r="G46" s="12"/>
      <c r="H46" s="12"/>
      <c r="I46" s="12"/>
      <c r="J46" s="12"/>
      <c r="K46" s="12"/>
      <c r="L46" s="12"/>
      <c r="M46" s="12"/>
      <c r="N46" s="12"/>
      <c r="O46" s="12"/>
    </row>
    <row r="47" ht="19.5" customHeight="1">
      <c r="A47" s="12"/>
      <c r="B47" s="12"/>
      <c r="C47" s="12"/>
      <c r="D47" s="12"/>
      <c r="E47" s="12"/>
      <c r="F47" s="12"/>
      <c r="G47" s="12"/>
      <c r="H47" s="12"/>
      <c r="I47" s="12"/>
      <c r="J47" s="12"/>
      <c r="K47" s="12"/>
      <c r="L47" s="12"/>
      <c r="M47" s="12"/>
      <c r="N47" s="12"/>
      <c r="O47" s="12"/>
    </row>
    <row r="48" ht="19.5" customHeight="1">
      <c r="A48" s="12"/>
      <c r="B48" s="12"/>
      <c r="C48" s="12"/>
      <c r="D48" s="12"/>
      <c r="E48" s="12"/>
      <c r="F48" s="12"/>
      <c r="G48" s="12"/>
      <c r="H48" s="12"/>
      <c r="I48" s="12"/>
      <c r="J48" s="12"/>
      <c r="K48" s="12"/>
      <c r="L48" s="12"/>
      <c r="M48" s="12"/>
      <c r="N48" s="12"/>
      <c r="O48" s="12"/>
    </row>
    <row r="49" ht="19.5" customHeight="1">
      <c r="A49" s="12"/>
      <c r="B49" s="12"/>
      <c r="C49" s="12"/>
      <c r="D49" s="12"/>
      <c r="E49" s="12"/>
      <c r="F49" s="12"/>
      <c r="G49" s="12"/>
      <c r="H49" s="12"/>
      <c r="I49" s="12"/>
      <c r="J49" s="12"/>
      <c r="K49" s="12"/>
      <c r="L49" s="12"/>
      <c r="M49" s="12"/>
      <c r="N49" s="12"/>
      <c r="O49" s="12"/>
    </row>
    <row r="50" ht="15.75" customHeight="1"/>
    <row r="51" ht="39.75" customHeight="1">
      <c r="A51" s="27" t="s">
        <v>1300</v>
      </c>
      <c r="B51" s="20"/>
      <c r="C51" s="20"/>
      <c r="D51" s="20"/>
      <c r="E51" s="20"/>
      <c r="F51" s="20"/>
      <c r="G51" s="20"/>
      <c r="H51" s="20"/>
      <c r="I51" s="20"/>
      <c r="J51" s="21"/>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49"/>
  <mergeCells count="1">
    <mergeCell ref="A51:J51"/>
  </mergeCells>
  <dataValidations>
    <dataValidation type="list" allowBlank="1" sqref="L5:L49">
      <formula1>"Measured,Estimate,Recalled,Not held"</formula1>
    </dataValidation>
    <dataValidation type="list" allowBlank="1" sqref="K5:K49">
      <formula1>"Donor,Station-own,Government in-kind,Community,Personal,Other,Unknown"</formula1>
    </dataValidation>
    <dataValidation type="list" allowBlank="1" sqref="N5:N49">
      <formula1>"Yes against audio,No transcript only,Disputed"</formula1>
    </dataValidation>
  </dataValidations>
  <printOptions/>
  <pageMargins bottom="1.0" footer="0.0" header="0.0" left="0.75" right="0.75" top="1.0"/>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40.0"/>
    <col customWidth="1" min="3" max="3" width="20.0"/>
    <col customWidth="1" min="4" max="4" width="22.0"/>
    <col customWidth="1" min="5" max="5" width="52.0"/>
    <col customWidth="1" min="6" max="6" width="8.71"/>
    <col customWidth="1" min="7" max="26" width="14.0"/>
  </cols>
  <sheetData>
    <row r="1" ht="30.0" customHeight="1">
      <c r="A1" s="2" t="s">
        <v>1343</v>
      </c>
      <c r="B1" s="2" t="s">
        <v>1344</v>
      </c>
      <c r="C1" s="2" t="s">
        <v>1345</v>
      </c>
      <c r="D1" s="2" t="s">
        <v>1346</v>
      </c>
      <c r="E1" s="2" t="s">
        <v>1347</v>
      </c>
    </row>
    <row r="2" ht="24.0" customHeight="1">
      <c r="A2" s="5" t="s">
        <v>1348</v>
      </c>
      <c r="B2" s="6" t="s">
        <v>1349</v>
      </c>
      <c r="C2" s="33" t="s">
        <v>1350</v>
      </c>
      <c r="D2" s="33" t="s">
        <v>447</v>
      </c>
      <c r="E2" s="7" t="s">
        <v>1351</v>
      </c>
    </row>
    <row r="3" ht="24.0" customHeight="1">
      <c r="A3" s="5" t="s">
        <v>1352</v>
      </c>
      <c r="B3" s="6" t="s">
        <v>1353</v>
      </c>
      <c r="C3" s="33" t="s">
        <v>1354</v>
      </c>
      <c r="D3" s="33" t="s">
        <v>447</v>
      </c>
      <c r="E3" s="7" t="s">
        <v>1355</v>
      </c>
    </row>
    <row r="4" ht="24.0" customHeight="1">
      <c r="A4" s="5" t="s">
        <v>1356</v>
      </c>
      <c r="B4" s="6" t="s">
        <v>1357</v>
      </c>
      <c r="C4" s="33" t="s">
        <v>1358</v>
      </c>
      <c r="D4" s="33" t="s">
        <v>447</v>
      </c>
      <c r="E4" s="7" t="s">
        <v>1355</v>
      </c>
    </row>
    <row r="5" ht="24.0" customHeight="1">
      <c r="A5" s="5" t="s">
        <v>1359</v>
      </c>
      <c r="B5" s="6" t="s">
        <v>1360</v>
      </c>
      <c r="C5" s="33" t="s">
        <v>1361</v>
      </c>
      <c r="D5" s="33" t="s">
        <v>447</v>
      </c>
      <c r="E5" s="7" t="s">
        <v>1355</v>
      </c>
    </row>
    <row r="6" ht="24.0" customHeight="1">
      <c r="A6" s="5" t="s">
        <v>1362</v>
      </c>
      <c r="B6" s="6" t="s">
        <v>1363</v>
      </c>
      <c r="C6" s="33" t="s">
        <v>1361</v>
      </c>
      <c r="D6" s="33" t="s">
        <v>447</v>
      </c>
      <c r="E6" s="7" t="s">
        <v>1364</v>
      </c>
    </row>
    <row r="7" ht="24.0" customHeight="1">
      <c r="A7" s="5" t="s">
        <v>1365</v>
      </c>
      <c r="B7" s="6" t="s">
        <v>1366</v>
      </c>
      <c r="C7" s="33" t="s">
        <v>1350</v>
      </c>
      <c r="D7" s="33" t="s">
        <v>456</v>
      </c>
      <c r="E7" s="7" t="s">
        <v>1355</v>
      </c>
    </row>
    <row r="8" ht="24.0" customHeight="1">
      <c r="A8" s="5" t="s">
        <v>1367</v>
      </c>
      <c r="B8" s="6" t="s">
        <v>1368</v>
      </c>
      <c r="C8" s="33" t="s">
        <v>1369</v>
      </c>
      <c r="D8" s="33" t="s">
        <v>447</v>
      </c>
      <c r="E8" s="7" t="s">
        <v>1370</v>
      </c>
    </row>
    <row r="9" ht="24.0" customHeight="1">
      <c r="A9" s="5" t="s">
        <v>1371</v>
      </c>
      <c r="B9" s="6" t="s">
        <v>1372</v>
      </c>
      <c r="C9" s="33" t="s">
        <v>1373</v>
      </c>
      <c r="D9" s="33" t="s">
        <v>498</v>
      </c>
      <c r="E9" s="7" t="s">
        <v>1374</v>
      </c>
    </row>
    <row r="10" ht="24.0" customHeight="1">
      <c r="A10" s="5" t="s">
        <v>1375</v>
      </c>
      <c r="B10" s="6" t="s">
        <v>1376</v>
      </c>
      <c r="C10" s="33" t="s">
        <v>1350</v>
      </c>
      <c r="D10" s="33" t="s">
        <v>498</v>
      </c>
      <c r="E10" s="7" t="s">
        <v>1377</v>
      </c>
    </row>
    <row r="11" ht="24.0" customHeight="1">
      <c r="A11" s="5" t="s">
        <v>1378</v>
      </c>
      <c r="B11" s="6" t="s">
        <v>512</v>
      </c>
      <c r="C11" s="33" t="s">
        <v>1350</v>
      </c>
      <c r="D11" s="33" t="s">
        <v>510</v>
      </c>
      <c r="E11" s="7" t="s">
        <v>1377</v>
      </c>
    </row>
    <row r="12" ht="24.0" customHeight="1">
      <c r="A12" s="5" t="s">
        <v>1379</v>
      </c>
      <c r="B12" s="6" t="s">
        <v>1380</v>
      </c>
      <c r="C12" s="33" t="s">
        <v>1350</v>
      </c>
      <c r="D12" s="33" t="s">
        <v>523</v>
      </c>
      <c r="E12" s="7" t="s">
        <v>1381</v>
      </c>
    </row>
    <row r="13" ht="24.0" customHeight="1">
      <c r="A13" s="5" t="s">
        <v>1382</v>
      </c>
      <c r="B13" s="6" t="s">
        <v>1383</v>
      </c>
      <c r="C13" s="33" t="s">
        <v>1350</v>
      </c>
      <c r="D13" s="33" t="s">
        <v>498</v>
      </c>
      <c r="E13" s="7" t="s">
        <v>1384</v>
      </c>
    </row>
    <row r="14" ht="24.0" customHeight="1">
      <c r="A14" s="5" t="s">
        <v>1367</v>
      </c>
      <c r="B14" s="6" t="s">
        <v>1385</v>
      </c>
      <c r="C14" s="33" t="s">
        <v>1386</v>
      </c>
      <c r="D14" s="33" t="s">
        <v>539</v>
      </c>
      <c r="E14" s="7" t="s">
        <v>1387</v>
      </c>
    </row>
    <row r="15" ht="24.0" customHeight="1">
      <c r="A15" s="5" t="s">
        <v>1388</v>
      </c>
      <c r="B15" s="6" t="s">
        <v>1389</v>
      </c>
      <c r="C15" s="33" t="s">
        <v>1350</v>
      </c>
      <c r="D15" s="33" t="s">
        <v>118</v>
      </c>
      <c r="E15" s="7" t="s">
        <v>1390</v>
      </c>
    </row>
    <row r="16" ht="24.0" customHeight="1">
      <c r="A16" s="5" t="s">
        <v>1367</v>
      </c>
      <c r="B16" s="6" t="s">
        <v>1391</v>
      </c>
      <c r="C16" s="33" t="s">
        <v>1392</v>
      </c>
      <c r="D16" s="33" t="s">
        <v>118</v>
      </c>
      <c r="E16" s="7" t="s">
        <v>1393</v>
      </c>
    </row>
    <row r="17" ht="24.0" customHeight="1">
      <c r="A17" s="5" t="s">
        <v>1394</v>
      </c>
      <c r="B17" s="6" t="s">
        <v>1395</v>
      </c>
      <c r="C17" s="33" t="s">
        <v>1396</v>
      </c>
      <c r="D17" s="33" t="s">
        <v>65</v>
      </c>
      <c r="E17" s="7" t="s">
        <v>1397</v>
      </c>
    </row>
    <row r="18" ht="24.0" customHeight="1">
      <c r="A18" s="5" t="s">
        <v>1398</v>
      </c>
      <c r="B18" s="6" t="s">
        <v>1399</v>
      </c>
      <c r="C18" s="33" t="s">
        <v>1396</v>
      </c>
      <c r="D18" s="33" t="s">
        <v>65</v>
      </c>
      <c r="E18" s="7" t="s">
        <v>1397</v>
      </c>
    </row>
    <row r="19" ht="24.0" customHeight="1">
      <c r="A19" s="5" t="s">
        <v>1400</v>
      </c>
      <c r="B19" s="6" t="s">
        <v>1401</v>
      </c>
      <c r="C19" s="33" t="s">
        <v>1396</v>
      </c>
      <c r="D19" s="33" t="s">
        <v>129</v>
      </c>
      <c r="E19" s="7" t="s">
        <v>1397</v>
      </c>
    </row>
    <row r="20" ht="24.0" customHeight="1">
      <c r="A20" s="5" t="s">
        <v>1402</v>
      </c>
      <c r="B20" s="6" t="s">
        <v>1403</v>
      </c>
      <c r="C20" s="33" t="s">
        <v>1396</v>
      </c>
      <c r="D20" s="33" t="s">
        <v>154</v>
      </c>
      <c r="E20" s="7" t="s">
        <v>1397</v>
      </c>
    </row>
    <row r="21" ht="24.0" customHeight="1">
      <c r="A21" s="5" t="s">
        <v>1404</v>
      </c>
      <c r="B21" s="6" t="s">
        <v>1405</v>
      </c>
      <c r="C21" s="33" t="s">
        <v>1350</v>
      </c>
      <c r="D21" s="33" t="s">
        <v>637</v>
      </c>
      <c r="E21" s="7" t="s">
        <v>1406</v>
      </c>
    </row>
    <row r="22" ht="24.0" customHeight="1">
      <c r="A22" s="5" t="s">
        <v>1407</v>
      </c>
      <c r="B22" s="6" t="s">
        <v>1408</v>
      </c>
      <c r="C22" s="33" t="s">
        <v>1350</v>
      </c>
      <c r="D22" s="33" t="s">
        <v>637</v>
      </c>
      <c r="E22" s="7" t="s">
        <v>1409</v>
      </c>
    </row>
    <row r="23" ht="15.75" customHeight="1"/>
    <row r="24" ht="45.75" customHeight="1">
      <c r="A24" s="27" t="s">
        <v>1410</v>
      </c>
      <c r="B24" s="20"/>
      <c r="C24" s="20"/>
      <c r="D24" s="20"/>
      <c r="E24" s="2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2026-09-10T14:04:23Z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4d5dd2d957b849798ce0eaf4aa363c1d</vt:lpwstr>
  </property>
</Properties>
</file>